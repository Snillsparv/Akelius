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6.xml" ContentType="application/vnd.openxmlformats-officedocument.spreadsheetml.table+xml"/>
  <Override PartName="/xl/tables/table1.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Topics" sheetId="3" state="visible" r:id="rId5"/>
    <sheet name="Cards by level" sheetId="4" state="visible" r:id="rId6"/>
    <sheet name="Tiers" sheetId="5" state="visible" r:id="rId7"/>
    <sheet name="Level outcomes" sheetId="6" state="visible" r:id="rId8"/>
    <sheet name="Standards" sheetId="7" state="visible" r:id="rId9"/>
    <sheet name="Existing card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<sst xmlns="http://schemas.openxmlformats.org/spreadsheetml/2006/main" count="8003" uniqueCount="2822">
  <si>
    <t xml:space="preserve">Akelius Quiz Cards · History curriculum map</t>
  </si>
  <si>
    <t xml:space="preserve">Proposal from Jonas von Essen, 2026-10-15. Draft for discussion with Daniel Shea.</t>
  </si>
  <si>
    <t xml:space="preserve">What this file is</t>
  </si>
  <si>
    <t xml:space="preserve">A model curriculum for the history cards from level 1 to university, as asked for in the email "Quiz Card curricula" of 15 October 2026: key topics per tier, a rough number of cards per topic, outcomes for every level, and a mapping to an academic standard.</t>
  </si>
  <si>
    <t xml:space="preserve">Levels are school years 1 to 12 plus U for university. A card is labelled by subject and level, for example H 3. Tiers group the levels: 1-3, 4-6, 7-9 and 10-U.</t>
  </si>
  <si>
    <t xml:space="preserve">400 cards already exist: 80 topics with five cards each, at levels 6, 9, 12, 12 and U. The map places all of them and proposes 1,119 new cards.</t>
  </si>
  <si>
    <t xml:space="preserve">Sheets</t>
  </si>
  <si>
    <t xml:space="preserve">Summary: cards per tier, level, phase, region, strand and era. The numbers are formulas and update when the other sheets change.</t>
  </si>
  <si>
    <t xml:space="preserve">Tiers: what each tier covers and what a card looks like there.</t>
  </si>
  <si>
    <t xml:space="preserve">Topics: the curriculum map. One row per topic and tier, with levels, content, card numbers, outcomes and standard mapping.</t>
  </si>
  <si>
    <t xml:space="preserve">Cards by level: the cards of each topic row split over the levels.</t>
  </si>
  <si>
    <t xml:space="preserve">Level outcomes: what students can do by the end of each level, with the standard each outcome maps to.</t>
  </si>
  <si>
    <t xml:space="preserve">Standards: the documents the map is built on, with links, and the ones it does not use.</t>
  </si>
  <si>
    <t xml:space="preserve">Existing cards: the 400 cards that are written, with their level and the map row they belong to.</t>
  </si>
  <si>
    <t xml:space="preserve">How to edit</t>
  </si>
  <si>
    <t xml:space="preserve">Change card numbers in the New cards column of the Topics sheet, yellow, and the split over levels in the Cards by level sheet, yellow; totals update by themselves, and the Check column shows when a row does not add up. Add a topic by adding a row to both tables. Outcome ids link Topics and Level outcomes, for example H8.3. Status: existing means the cards are written; existing + new adds new cards to a written topic; planned means the topic is already on our production list; new means a topic proposed for this map.</t>
  </si>
  <si>
    <t xml:space="preserve">Choice of standard</t>
  </si>
  <si>
    <t xml:space="preserve">Primary standard: Three layers. Content spine: World History for Us All, Big Eras 1-9. Outcome wording: NCHS National Standards for History, Basic Edition 1996. Named exam standard for levels 10 to U: Cambridge IGCSE History 0470, same content as IGCSE 0977 and O Level 2147, and Cambridge International AS &amp; A Level History 9489. University benchmark: AP World History: Modern, from about 1200.</t>
  </si>
  <si>
    <t xml:space="preserve">Supporting: Cambridge Primary Humanities 0065 and Lower Secondary Humanities 0839, Past strand, for skill wording at levels 1-9, such as objective 789PTsk.04; Big History Project thresholds and units, as an opening frame only; Tanzania 2023 syllabi from the Tanzania Institute of Education: Historia ya Tanzania na Maadili, HTM, for Standard III-VI and Form I-IV, and History for Form I-IV and Form V-VI; Bhutan History Curriculum Framework 2022, Classes VII-XII, and Social Studies Instructional Guide IV-VI, 2025; India NCERT textbooks, the Kenya KICD competency-based curriculum, Brazil's national common core BNCC and the England National Curriculum 2013, as a common-core check; IB PYP Social studies scope and sequence 2008, which may since have been superseded, IB MYP Individuals and societies, and IB DP History, current guide and new guide for first assessment 2028, cited as references only, never as endorsement</t>
  </si>
  <si>
    <t xml:space="preserve">No international test covers history: TIMSS tests mathematics and science, and PISA reading, mathematics and science. So we map to frameworks in three layers. The spine is World History for Us All from UCLA, whose nine Big Eras run from the first humans in Africa to today as one connected story. Outcome wording comes from the US National Standards for History, 1996, the only framework we found that runs from kindergarten to grade 12 with a grade band, such as K-4 or 9-12, on each outcome. We place each outcome in one year of its band and use only the world-history parts. For levels 10 to U we name Cambridge IGCSE History 0470, the same content as O Level 2147, and AS &amp; A Level History 9489. IGCSE is taught in over 150 countries, and Cambridge says O Level is designed for learners whose first language may not be English. Bhutan has been aligning its curriculum with Cambridge standards since January 2025, but has not said whether History is included. Cambridge key questions name people, places and treaties, so they turn straight into four-option cards, but Cambridge has no history content below level 10 and examines nothing before 1774. For university we add AP World History: Modern, which the College Board says is designed to be the equivalent of an introductory college survey of modern world history. It uses four-option questions and starts about 1200, so earlier periods use the grade 9-12 National Standards. All eleven topics that India, Kenya, Brazil and England share have rows; Tanzania and Bhutan guided relevance. The set covers every IGCSE core key question, all five depth studies and most AS and A Level topics, far beyond one candidate's options. Cards fit Cambridge AO1 and AO2 well, and AO3 and AO4 only in part.</t>
  </si>
  <si>
    <t xml:space="preserve">ICCS tests civic knowledge in grade 8 and is background only. The IB is not primary: PYP and MYP prescribe no content, DP content starts in 750 CE and is option-based, and IB guidance limits the commercial use of IB materials and of the IB name, so we cite IB documents only as references and claim no IB alignment or endorsement. Cambridge alone cannot be the spine, since about 60 of the 80 existing sets have no Cambridge anchor. Big History is mostly cosmology and biology. National curricula are not international standards: Tanzania's HTM is taught in Kiswahili and is value-led, and Bhutan gives 50-70 percent of history time to Bhutan History and Civics, so they guide relevance, not outcome wording.</t>
  </si>
  <si>
    <t xml:space="preserve">How the map is organised</t>
  </si>
  <si>
    <t xml:space="preserve">One timeline from the first humans to today, told three times at rising depth. Levels 1-3 start from the child's world then and now and from the deep past. Levels 4-6 run from human origins to about 500 CE, and level 6 gives a first look at every age, including Africa, Asia, Latin America and the Middle East. Levels 7-9 run from about 300 to 1900. Level 10 covers 1848-1945 on Cambridge IGCSE. Level 11 covers the world since 1945, with IGCSE Option B for the Cold War and the other layers for decolonisation, rights, globalisation and the environment. Level 12 adds AS Level depth and comparison across eras, and U deals with evidence, myths and debate. A timeline gives every card one clear place in time. Each age returns in every tier, so pupils in Tanzania and Bhutan meet their own history early, and rows by region at 12 and U give depth. Strands for everyday life, belief, trade, science, rights, environment and power cut across the eras, with ideas and development before wars and kings.</t>
  </si>
  <si>
    <t xml:space="preserve">Card numbers</t>
  </si>
  <si>
    <t xml:space="preserve">About 1,500 cards in all: the 400 that exist and 1,119 new. Tier 1-3: 223 new cards. Tier 4-6: 320 cards, of which 80 exist. Tier 7-9: 405 cards, of which 80 exist. Tier 10-U: 571 cards, of which 240 exist. Most levels get about 90 to 125 cards, two or three a week over a school year. Level 1 has fewer, since each card holds one fact and is read aloud, and level 4 covers only the first humans to the first metals. The Cards by level sheet gives the number for every row and level. We suggest two phases. Phase 1 has 553 new cards, about 950 with the existing ones, and covers every outcome at least once, every topic already on our list and the topics closest to pupils in Tanzania and Bhutan. Phase 2 adds the remaining 566 cards for depth.</t>
  </si>
  <si>
    <t xml:space="preserve">Cards per tier</t>
  </si>
  <si>
    <t xml:space="preserve">Tier</t>
  </si>
  <si>
    <t xml:space="preserve">Topic rows</t>
  </si>
  <si>
    <t xml:space="preserve">Existing cards</t>
  </si>
  <si>
    <t xml:space="preserve">New cards</t>
  </si>
  <si>
    <t xml:space="preserve">Total cards</t>
  </si>
  <si>
    <t xml:space="preserve">Share of total</t>
  </si>
  <si>
    <t xml:space="preserve">Tier 1-3</t>
  </si>
  <si>
    <t xml:space="preserve">Tier 4-6</t>
  </si>
  <si>
    <t xml:space="preserve">Tier 7-9</t>
  </si>
  <si>
    <t xml:space="preserve">Tier 10-U</t>
  </si>
  <si>
    <t xml:space="preserve">All tiers</t>
  </si>
  <si>
    <t xml:space="preserve">Cards per level</t>
  </si>
  <si>
    <t xml:space="preserve">Level</t>
  </si>
  <si>
    <t xml:space="preserve">Level 1</t>
  </si>
  <si>
    <t xml:space="preserve">Level 2</t>
  </si>
  <si>
    <t xml:space="preserve">Level 3</t>
  </si>
  <si>
    <t xml:space="preserve">Level 4</t>
  </si>
  <si>
    <t xml:space="preserve">Level 5</t>
  </si>
  <si>
    <t xml:space="preserve">Level 6</t>
  </si>
  <si>
    <t xml:space="preserve">Level 7</t>
  </si>
  <si>
    <t xml:space="preserve">Level 8</t>
  </si>
  <si>
    <t xml:space="preserve">Level 9</t>
  </si>
  <si>
    <t xml:space="preserve">Level 10</t>
  </si>
  <si>
    <t xml:space="preserve">Level 11</t>
  </si>
  <si>
    <t xml:space="preserve">Level 12</t>
  </si>
  <si>
    <t xml:space="preserve">Level U</t>
  </si>
  <si>
    <t xml:space="preserve">All levels</t>
  </si>
  <si>
    <t xml:space="preserve">Cards per phase</t>
  </si>
  <si>
    <t xml:space="preserve">Value</t>
  </si>
  <si>
    <t xml:space="preserve">Phase 1</t>
  </si>
  <si>
    <t xml:space="preserve">Phase 2</t>
  </si>
  <si>
    <t xml:space="preserve">Existing only</t>
  </si>
  <si>
    <t xml:space="preserve">Cards per region</t>
  </si>
  <si>
    <t xml:space="preserve">Africa</t>
  </si>
  <si>
    <t xml:space="preserve">Asia and Pacific</t>
  </si>
  <si>
    <t xml:space="preserve">Europe</t>
  </si>
  <si>
    <t xml:space="preserve">Global</t>
  </si>
  <si>
    <t xml:space="preserve">Latin America</t>
  </si>
  <si>
    <t xml:space="preserve">Middle East</t>
  </si>
  <si>
    <t xml:space="preserve">North America</t>
  </si>
  <si>
    <t xml:space="preserve">Cards per strand</t>
  </si>
  <si>
    <t xml:space="preserve">belief and ideas</t>
  </si>
  <si>
    <t xml:space="preserve">conflict and peace</t>
  </si>
  <si>
    <t xml:space="preserve">empire and colonialism</t>
  </si>
  <si>
    <t xml:space="preserve">environment</t>
  </si>
  <si>
    <t xml:space="preserve">people and everyday life</t>
  </si>
  <si>
    <t xml:space="preserve">power and government</t>
  </si>
  <si>
    <t xml:space="preserve">rights, freedom and equality</t>
  </si>
  <si>
    <t xml:space="preserve">science, technology and mathematics</t>
  </si>
  <si>
    <t xml:space="preserve">time and evidence</t>
  </si>
  <si>
    <t xml:space="preserve">trade, travel and exchange</t>
  </si>
  <si>
    <t xml:space="preserve">Cards per era</t>
  </si>
  <si>
    <t xml:space="preserve">Across time</t>
  </si>
  <si>
    <t xml:space="preserve">Big Era 1, before 200,000 years ago</t>
  </si>
  <si>
    <t xml:space="preserve">Big Era 2, 200,000 to 10,000 years ago</t>
  </si>
  <si>
    <t xml:space="preserve">Big Era 3, 8000-1000 BCE</t>
  </si>
  <si>
    <t xml:space="preserve">Big Era 4, 1200 BCE to 500 CE</t>
  </si>
  <si>
    <t xml:space="preserve">Big Era 5, 300-1500 CE</t>
  </si>
  <si>
    <t xml:space="preserve">Big Era 6, 1400-1800</t>
  </si>
  <si>
    <t xml:space="preserve">Big Era 7, 1750-1914</t>
  </si>
  <si>
    <t xml:space="preserve">Big Era 8, 1900-1950</t>
  </si>
  <si>
    <t xml:space="preserve">Big Era 9, 1945 to today</t>
  </si>
  <si>
    <t xml:space="preserve">Big Eras 2-4, 200,000 years ago to 500 CE</t>
  </si>
  <si>
    <t xml:space="preserve">Big Eras 3-4, 8000 BCE to 500 CE</t>
  </si>
  <si>
    <t xml:space="preserve">Big Eras 3-5, 8000 BCE to 1500 CE</t>
  </si>
  <si>
    <t xml:space="preserve">Big Eras 3-6, 8000 BCE to 1800</t>
  </si>
  <si>
    <t xml:space="preserve">Big Eras 4-5, 1200 BCE to 1500 CE</t>
  </si>
  <si>
    <t xml:space="preserve">Big Eras 4-6, 1200 BCE to 1800</t>
  </si>
  <si>
    <t xml:space="preserve">Big Eras 5-6, 300 CE to 1800</t>
  </si>
  <si>
    <t xml:space="preserve">Big Eras 5-9, 300 CE to today</t>
  </si>
  <si>
    <t xml:space="preserve">Big Eras 6-7, 1400-1914</t>
  </si>
  <si>
    <t xml:space="preserve">Big Eras 6-8, 1400-1950</t>
  </si>
  <si>
    <t xml:space="preserve">Big Eras 6-9, 1400 to today</t>
  </si>
  <si>
    <t xml:space="preserve">Big Eras 7-8, 1750-1950</t>
  </si>
  <si>
    <t xml:space="preserve">Big Eras 7-9, 1750 to today</t>
  </si>
  <si>
    <t xml:space="preserve">Big Eras 8-9, 1900 to today</t>
  </si>
  <si>
    <t xml:space="preserve">Outcomes per level</t>
  </si>
  <si>
    <t xml:space="preserve">Outcomes</t>
  </si>
  <si>
    <t xml:space="preserve">Topic ID</t>
  </si>
  <si>
    <t xml:space="preserve">Levels</t>
  </si>
  <si>
    <t xml:space="preserve">Topic</t>
  </si>
  <si>
    <t xml:space="preserve">Key content</t>
  </si>
  <si>
    <t xml:space="preserve">Era</t>
  </si>
  <si>
    <t xml:space="preserve">Region</t>
  </si>
  <si>
    <t xml:space="preserve">Strand</t>
  </si>
  <si>
    <t xml:space="preserve">Status</t>
  </si>
  <si>
    <t xml:space="preserve">Phase</t>
  </si>
  <si>
    <t xml:space="preserve">Standard mapping</t>
  </si>
  <si>
    <t xml:space="preserve">Existing card set</t>
  </si>
  <si>
    <t xml:space="preserve">Notes</t>
  </si>
  <si>
    <t xml:space="preserve">T1-3-001</t>
  </si>
  <si>
    <t xml:space="preserve">1</t>
  </si>
  <si>
    <t xml:space="preserve">Time words, days and calendars</t>
  </si>
  <si>
    <t xml:space="preserve">Before and after, moon months, the farming year, counting days by sun, moon and rain.</t>
  </si>
  <si>
    <t xml:space="preserve">new</t>
  </si>
  <si>
    <t xml:space="preserve">H1.1</t>
  </si>
  <si>
    <t xml:space="preserve">NCHS K-4 Historical Thinking Standard 1, Chronological Thinking; BNCC EF02HI06; Cambridge Primary Humanities 0065, Past strand</t>
  </si>
  <si>
    <t xml:space="preserve">By level: 1: 10 new. Phase 1.</t>
  </si>
  <si>
    <t xml:space="preserve">T1-3-002</t>
  </si>
  <si>
    <t xml:space="preserve">1, 2</t>
  </si>
  <si>
    <t xml:space="preserve">Children, families and school then and now</t>
  </si>
  <si>
    <t xml:space="preserve">Chores, games and toys, a grandparent's childhood, learning from elders, scribe and monastery schools.</t>
  </si>
  <si>
    <t xml:space="preserve">H1.3, H2.7</t>
  </si>
  <si>
    <t xml:space="preserve">NCHS K-4 Topic 1, Standard 1; Tanzania HTM primary 2023, Std III</t>
  </si>
  <si>
    <t xml:space="preserve">By level: 1: 7 new; 2: 5 new. Childhood is a gap in the existing sets. Many pupils still learn at home and in monastery schools, so cards show what changed and what stayed. Phase 2.</t>
  </si>
  <si>
    <t xml:space="preserve">T1-3-003</t>
  </si>
  <si>
    <t xml:space="preserve">Homes, tools and food through time</t>
  </si>
  <si>
    <t xml:space="preserve">Round huts and stilt houses, cooking fire to stove, oil lamp to bulb, clay pot to metal pot.</t>
  </si>
  <si>
    <t xml:space="preserve">H1.2, H1.3, H2.7</t>
  </si>
  <si>
    <t xml:space="preserve">NCHS K-4 Topic 4, Standard 8A; NCHS K-4 Topic 1, Standard 1</t>
  </si>
  <si>
    <t xml:space="preserve">By level: 1: 6 new; 2: 4 new. The Himalayan farmhouse and grinding grain belong to T1-3-030. Phase 2.</t>
  </si>
  <si>
    <t xml:space="preserve">T1-3-004</t>
  </si>
  <si>
    <t xml:space="preserve">Clues from the past</t>
  </si>
  <si>
    <t xml:space="preserve">Objects, photos, buildings, bones and stories; what museums and archaeologists do.</t>
  </si>
  <si>
    <t xml:space="preserve">H1.4, H2.6</t>
  </si>
  <si>
    <t xml:space="preserve">Cambridge Primary Humanities 0065, Past strand, how we construct the past; NCHS K-4 Topic 4, Standard 7A</t>
  </si>
  <si>
    <t xml:space="preserve">By level: 1: 6 new; 2: 4 new. Phase 1.</t>
  </si>
  <si>
    <t xml:space="preserve">T1-3-005</t>
  </si>
  <si>
    <t xml:space="preserve">Stories, songs and festivals</t>
  </si>
  <si>
    <t xml:space="preserve">Harvest and new year festivals, masked dances in Bhutan, Anansi and the clever hare.</t>
  </si>
  <si>
    <t xml:space="preserve">H1.5, H2.8</t>
  </si>
  <si>
    <t xml:space="preserve">NCHS K-4 Topic 4, Standard 7A, folktales, holidays and ceremonies; Tanzania HTM primary 2023, Std III</t>
  </si>
  <si>
    <t xml:space="preserve">By level: 1: 6 new; 2: 4 new. Faith festivals are shown as what believers do. Phase 2.</t>
  </si>
  <si>
    <t xml:space="preserve">T1-3-006</t>
  </si>
  <si>
    <t xml:space="preserve">1, 2, 3</t>
  </si>
  <si>
    <t xml:space="preserve">Travel and messages, from feet to rockets</t>
  </si>
  <si>
    <t xml:space="preserve">Camels, canoes, trains and planes; runners, talking drums, letters and satellites.</t>
  </si>
  <si>
    <t xml:space="preserve">H1.6, H2.8, H3.4</t>
  </si>
  <si>
    <t xml:space="preserve">NCHS K-4 Topic 4, Standards 8B and 8C</t>
  </si>
  <si>
    <t xml:space="preserve">By level: 1: 5 new; 2: 3 new; 3: 2 new. Phase 1.</t>
  </si>
  <si>
    <t xml:space="preserve">T1-3-007</t>
  </si>
  <si>
    <t xml:space="preserve">Leaders and rules: elders, chiefs and councils</t>
  </si>
  <si>
    <t xml:space="preserve">Who makes rules at home, at school and in a village; clan elders and chiefs in East Africa long ago; choosing leaders today.</t>
  </si>
  <si>
    <t xml:space="preserve">H1.7</t>
  </si>
  <si>
    <t xml:space="preserve">WHFUA key theme Uses and Abuses of Power; Tanzania HTM primary 2023, Std III; Bhutan Social Studies 2025, Class IV</t>
  </si>
  <si>
    <t xml:space="preserve">By level: 1: 6 new. Neutral tone, not the HTM values framing. Named systems such as Maasai age sets and Buganda belong to T4-6-038. Phase 1.</t>
  </si>
  <si>
    <t xml:space="preserve">T1-3-008</t>
  </si>
  <si>
    <t xml:space="preserve">2</t>
  </si>
  <si>
    <t xml:space="preserve">Our oldest ancestors, in East Africa</t>
  </si>
  <si>
    <t xml:space="preserve">Laetoli footprints and Lucy as human ancestors, not people like us; Olduvai tools; how we know people began in Africa.</t>
  </si>
  <si>
    <t xml:space="preserve">H2.1, H2.6</t>
  </si>
  <si>
    <t xml:space="preserve">WHFUA Big Era 1, Landscape 1.2; NCHS World History Era 1, Standard 1</t>
  </si>
  <si>
    <t xml:space="preserve">By level: 2: 8 new. The most local topic for Tanzania. Cards say 'the oldest found so far'. Laetoli, Olduvai and Lucy belong to this row. Phase 1.</t>
  </si>
  <si>
    <t xml:space="preserve">T1-3-009</t>
  </si>
  <si>
    <t xml:space="preserve">Stone tools, fire and shelter</t>
  </si>
  <si>
    <t xml:space="preserve">Hand axes, blades, cooking with fire, clothes and shelters.</t>
  </si>
  <si>
    <t xml:space="preserve">H2.3</t>
  </si>
  <si>
    <t xml:space="preserve">NCHS K-4 Topic 4, Standard 8A</t>
  </si>
  <si>
    <t xml:space="preserve">By level: 2: 7 new. Say people used fire for a very long time; no exact first dates at this level. Phase 1.</t>
  </si>
  <si>
    <t xml:space="preserve">T1-3-010</t>
  </si>
  <si>
    <t xml:space="preserve">Hunting, fishing and gathering</t>
  </si>
  <si>
    <t xml:space="preserve">Finding fruit, roots, fish and meat, moving with the seasons.</t>
  </si>
  <si>
    <t xml:space="preserve">H2.2</t>
  </si>
  <si>
    <t xml:space="preserve">NCHS K-4 Topic 4, Standard 8A; WHFUA Big Era 2, Landscape 2.1</t>
  </si>
  <si>
    <t xml:space="preserve">By level: 2: 6 new. Living hunter-gatherers, such as the Hadza of Tanzania, are shown with respect and in the present. Phase 1.</t>
  </si>
  <si>
    <t xml:space="preserve">T1-3-011</t>
  </si>
  <si>
    <t xml:space="preserve">Rock art and beads</t>
  </si>
  <si>
    <t xml:space="preserve">Hand stencils on Sulawesi, ostrich-egg beads, Australian rock art.</t>
  </si>
  <si>
    <t xml:space="preserve">H2.4</t>
  </si>
  <si>
    <t xml:space="preserve">WHFUA Big Era 2, Landscape 2.1; NCHS K-4 Topic 4, Standard 7A</t>
  </si>
  <si>
    <t xml:space="preserve">By level: 2: 6 new. Blombos and Lascaux belong to T4-6-005 and the Kondoa paintings to T1-3-029. Phase 1.</t>
  </si>
  <si>
    <t xml:space="preserve">T1-3-012</t>
  </si>
  <si>
    <t xml:space="preserve">People reach every continent</t>
  </si>
  <si>
    <t xml:space="preserve">Walking out of Africa, the first boats across the sea, crossing the land bridge to the Americas.</t>
  </si>
  <si>
    <t xml:space="preserve">H2.5</t>
  </si>
  <si>
    <t xml:space="preserve">NCHS K-4 Topic 4, Standard 7B; WHFUA Big Era 2, Landscape 2.1</t>
  </si>
  <si>
    <t xml:space="preserve">By level: 2: 6 new. Phase 1.</t>
  </si>
  <si>
    <t xml:space="preserve">T1-3-013</t>
  </si>
  <si>
    <t xml:space="preserve">3</t>
  </si>
  <si>
    <t xml:space="preserve">The first farmers and their crops</t>
  </si>
  <si>
    <t xml:space="preserve">Wheat, rice, maize, potatoes, sorghum and teff; harvest and stored grain.</t>
  </si>
  <si>
    <t xml:space="preserve">H3.1, H3.2</t>
  </si>
  <si>
    <t xml:space="preserve">WHFUA Big Era 3, Landscapes 3.1 and 3.2</t>
  </si>
  <si>
    <t xml:space="preserve">By level: 3: 9 new. Phase 2.</t>
  </si>
  <si>
    <t xml:space="preserve">T1-3-014</t>
  </si>
  <si>
    <t xml:space="preserve">Taming animals</t>
  </si>
  <si>
    <t xml:space="preserve">Dogs, goats, cattle, camels, llamas and yaks.</t>
  </si>
  <si>
    <t xml:space="preserve">H3.2</t>
  </si>
  <si>
    <t xml:space="preserve">WHFUA Big Era 3, Landscape 3.1</t>
  </si>
  <si>
    <t xml:space="preserve">By level: 3: 6 new. Dogs were tamed by hunter-gatherers before farming. Yaks belong to this row. Phase 1.</t>
  </si>
  <si>
    <t xml:space="preserve">T1-3-015</t>
  </si>
  <si>
    <t xml:space="preserve">Villages, towns and the first cities</t>
  </si>
  <si>
    <t xml:space="preserve">Jericho by a spring; Nile, Tigris, Indus and Yellow River cities; mud bricks, canals, markets.</t>
  </si>
  <si>
    <t xml:space="preserve">H3.3, H3.7</t>
  </si>
  <si>
    <t xml:space="preserve">WHFUA Big Era 3, Landscape 3.3; NCHS World History Era 2, Standards 1 and 2</t>
  </si>
  <si>
    <t xml:space="preserve">By level: 3: 6 new. Jericho belongs to this row. Phase 1.</t>
  </si>
  <si>
    <t xml:space="preserve">T1-3-016</t>
  </si>
  <si>
    <t xml:space="preserve">Writing, paper and counting</t>
  </si>
  <si>
    <t xml:space="preserve">Clay marks, papyrus, paper from China, the abacus, tally sticks.</t>
  </si>
  <si>
    <t xml:space="preserve">H3.4, H3.7</t>
  </si>
  <si>
    <t xml:space="preserve">NCHS K-4 Topic 4, Standard 8C</t>
  </si>
  <si>
    <t xml:space="preserve">By level: 3: 10 new. Includes Daniel's level-3 paper card, which says paper began in China over 2,000 years ago; Cai Lun improved it, he did not invent it. No readable signs or numbers in images. Avoid motifs the Mesopotamia, Egypt and Phoenician cards use. Phase 1.</t>
  </si>
  <si>
    <t xml:space="preserve">T1-3-017</t>
  </si>
  <si>
    <t xml:space="preserve">Wheels, boats, roads and bridges</t>
  </si>
  <si>
    <t xml:space="preserve">Wheel and cart, reed boats, sailing ships, stepping stones to stone bridges.</t>
  </si>
  <si>
    <t xml:space="preserve">H3.4</t>
  </si>
  <si>
    <t xml:space="preserve">NCHS K-4 Topic 4, Standards 8A and 8B</t>
  </si>
  <si>
    <t xml:space="preserve">By level: 3: 6 new. Inca rope bridges are on an existing Inca card. Phase 2.</t>
  </si>
  <si>
    <t xml:space="preserve">T1-3-018</t>
  </si>
  <si>
    <t xml:space="preserve">2, 3</t>
  </si>
  <si>
    <t xml:space="preserve">Markets and money</t>
  </si>
  <si>
    <t xml:space="preserve">Swapping goods, salt and cowries, the first coins, paper money in China, paying by phone today.</t>
  </si>
  <si>
    <t xml:space="preserve">H2.8, H3.8</t>
  </si>
  <si>
    <t xml:space="preserve">WHFUA key theme Economic Networks and Exchange; Kenya KICD Junior School Grade 7, barter to money</t>
  </si>
  <si>
    <t xml:space="preserve">By level: 2: 3 new; 3: 5 new. Money is a gap in the existing sets. Do not say barter came first everywhere. Coins began in Lydia, China and India about 2,600 years ago. The M-Pesa story belongs to T10-U-053; this row shows only paying by phone today. Phase 1.</t>
  </si>
  <si>
    <t xml:space="preserve">T1-3-019</t>
  </si>
  <si>
    <t xml:space="preserve">Great buildings and their builders</t>
  </si>
  <si>
    <t xml:space="preserve">Great Zimbabwe's walls without mortar, Angkor's temple and moat, India's stepwells, the rock-cut tombs of Petra; who built them and how.</t>
  </si>
  <si>
    <t xml:space="preserve">H3.5</t>
  </si>
  <si>
    <t xml:space="preserve">NCHS K-4 Topic 4, Standard 7A; Kenya KICD Junior School Grade 8, historical sites</t>
  </si>
  <si>
    <t xml:space="preserve">By level: 3: 6 new. Builders before kings. Great Zimbabwe and Angkor are also answers of T7-9-014 and T7-9-019, so the level-3 card takes a facet those rows do not use. The pyramids, the Great Wall and Machu Picchu are on existing cards and are not answers here. If a card mentions them in passing: pyramid builders were skilled workers and called-up farmers paid in food, and the Great Wall is not visible from the Moon. Phase 2.</t>
  </si>
  <si>
    <t xml:space="preserve">T1-3-020</t>
  </si>
  <si>
    <t xml:space="preserve">Long ago in Africa</t>
  </si>
  <si>
    <t xml:space="preserve">Aksum's tall stone pillars, Lalibela's churches cut into rock, Meroe's small pyramids, Benin's bronze heads, iron smiths of East Africa.</t>
  </si>
  <si>
    <t xml:space="preserve">H3.5, H3.7</t>
  </si>
  <si>
    <t xml:space="preserve">NCHS K-4 Topic 4, Standard 7A; Kenya KICD Junior School Grades 7 and 8; England National Curriculum 2013, KS2, Benin</t>
  </si>
  <si>
    <t xml:space="preserve">By level: 3: 8 new. Each place is also the answer of a later row, so the level-3 card takes a facet that row does not use. Mali's gold and salt and the Swahili dhows are on existing cards. Ethiopia is named on existing cards, so the answer is Lalibela, not Ethiopia. Phase 2.</t>
  </si>
  <si>
    <t xml:space="preserve">T1-3-021</t>
  </si>
  <si>
    <t xml:space="preserve">Long ago in Asia</t>
  </si>
  <si>
    <t xml:space="preserve">Tea and how it spread, kites, the monsoon farm year, porcelain, the water buffalo.</t>
  </si>
  <si>
    <t xml:space="preserve">H3.2, H3.4, H3.7</t>
  </si>
  <si>
    <t xml:space="preserve">NCHS K-4 Topic 4, Standard 7A; WHFUA Big Era 4, Landscape 4.2</t>
  </si>
  <si>
    <t xml:space="preserve">By level: 3: 8 new. The clay army, Zheng He's giraffe, Ashoka's pillars and silk are on existing cards. Terraced fields belong to T1-3-028. Phase 2.</t>
  </si>
  <si>
    <t xml:space="preserve">T1-3-022</t>
  </si>
  <si>
    <t xml:space="preserve">Long ago in the Americas</t>
  </si>
  <si>
    <t xml:space="preserve">Andean weaving, freeze-dried potatoes in the Andes, Amazon dark-earth gardens, Cahokia's mounds.</t>
  </si>
  <si>
    <t xml:space="preserve">NCHS K-4 Topic 4, Standard 7A; WHFUA Big Era 3, Landscape 3.5</t>
  </si>
  <si>
    <t xml:space="preserve">By level: 3: 6 new. Maya cacao, Aztec floating gardens and Inca llamas are on existing cards. Pacific sailors belong to T1-3-025 at this level. Also North America. Phase 2.</t>
  </si>
  <si>
    <t xml:space="preserve">T1-3-023</t>
  </si>
  <si>
    <t xml:space="preserve">Long ago around the Mediterranean</t>
  </si>
  <si>
    <t xml:space="preserve">The Royal Game of Ur, Greek painted pots, Roman bath houses, a Roman bread oven, Viking wool sails woven by women.</t>
  </si>
  <si>
    <t xml:space="preserve">NCHS K-4 Topic 4, Standard 7A; England National Curriculum 2013, KS2</t>
  </si>
  <si>
    <t xml:space="preserve">By level: 3: 5 new. Clay writing, purple dye, the olive crown, Roman roads and Viking ships are on existing cards. Also Middle East: Ur. Phase 2.</t>
  </si>
  <si>
    <t xml:space="preserve">T1-3-024</t>
  </si>
  <si>
    <t xml:space="preserve">Holy places in history</t>
  </si>
  <si>
    <t xml:space="preserve">Temples, churches, mosques, synagogues, monasteries and Bhutan's dzongs as places people built and visit.</t>
  </si>
  <si>
    <t xml:space="preserve">H1.5, H2.8, H3.5</t>
  </si>
  <si>
    <t xml:space="preserve">NCHS K-4 Topic 4, Standard 7A, holidays and ceremonies; Bhutan Social Studies 2025, Class V, sacred places</t>
  </si>
  <si>
    <t xml:space="preserve">By level: 1: 2 new; 2: 2 new; 3: 2 new. Buildings only, no calligraphy; belief marked as belief. The dzong motif belongs to this row. Phase 1.</t>
  </si>
  <si>
    <t xml:space="preserve">T1-3-025</t>
  </si>
  <si>
    <t xml:space="preserve">Famous journeys</t>
  </si>
  <si>
    <t xml:space="preserve">Xuanzang's walk to India and back, Polynesian sailors who read the stars, Sacagawea guiding travellers across North America.</t>
  </si>
  <si>
    <t xml:space="preserve">H3.6</t>
  </si>
  <si>
    <t xml:space="preserve">NCHS K-4 Topic 4, Standard 7, early explorers and world travellers</t>
  </si>
  <si>
    <t xml:space="preserve">By level: 3: 4 new. Conquest is left to later levels. Ibn Battuta, Magellan and the Moon landing hold existing sets and are not answers here. The level-3 Polynesian card takes a facet T7-9-020 does not use. Phase 2.</t>
  </si>
  <si>
    <t xml:space="preserve">T1-3-026</t>
  </si>
  <si>
    <t xml:space="preserve">People who changed the world</t>
  </si>
  <si>
    <t xml:space="preserve">People with no existing set, such as Wangari Maathai's first trees, Mary Anning's fossils, Garrett Morgan's traffic light and al-Jazari's water clock.</t>
  </si>
  <si>
    <t xml:space="preserve">NCHS K-4 Topic 4, Standard 8A, scientists and inventors; England National Curriculum 2013, KS1, significant individuals</t>
  </si>
  <si>
    <t xml:space="preserve">By level: 3: 8 new. Women at least a third. No answer may be a person named in an existing card's text: Mary Seacole is on florence-nightingale card 5. Maathai's prize and the Green Belt movement belong to T10-U-056. Phase 2.</t>
  </si>
  <si>
    <t xml:space="preserve">T1-3-027</t>
  </si>
  <si>
    <t xml:space="preserve">Keeping well: water, nurses and vaccines</t>
  </si>
  <si>
    <t xml:space="preserve">Clean water and soap, inoculation in China, India, Turkey and West Africa, nurses in village clinics, how a vaccine protects.</t>
  </si>
  <si>
    <t xml:space="preserve">H3.4, H3.6</t>
  </si>
  <si>
    <t xml:space="preserve">NCHS K-4 Topic 4, Standard 8A; England National Curriculum 2013, KS1, significant individuals</t>
  </si>
  <si>
    <t xml:space="preserve">By level: 3: 6 new. Medicine did not start in one place; Onesimus taught inoculation in Boston in 1721. The end of smallpox, with the last natural case in Somalia in 1977, belongs to T10-U-052 and Jenner to T7-9-054. Phase 2.</t>
  </si>
  <si>
    <t xml:space="preserve">T1-3-028</t>
  </si>
  <si>
    <t xml:space="preserve">Caring for land and forests</t>
  </si>
  <si>
    <t xml:space="preserve">Terraced fields in Bhutan and the Philippines, sacred forests, planting trees, keeping rivers clean, saving seed.</t>
  </si>
  <si>
    <t xml:space="preserve">H2.7, H3.1, H3.6</t>
  </si>
  <si>
    <t xml:space="preserve">NCHS K-4 Topic 4, Standard 8A, using fire, water, wind and soil; Tanzania HTM primary 2023, Std III, indigenous knowledge of environment</t>
  </si>
  <si>
    <t xml:space="preserve">By level: 2: 3 new; 3: 3 new. The environment is a gap in the existing sets. Also Africa. Wangari Maathai belongs to T10-U-056. Phase 1.</t>
  </si>
  <si>
    <t xml:space="preserve">T1-3-029</t>
  </si>
  <si>
    <t xml:space="preserve">Heritage near us: Tanzania</t>
  </si>
  <si>
    <t xml:space="preserve">The Kondoa rock paintings, Makonde carving, ngoma drums and dance, tingatinga painting.</t>
  </si>
  <si>
    <t xml:space="preserve">H2.7, H2.8, H3.5</t>
  </si>
  <si>
    <t xml:space="preserve">NCHS K-4 Topic 4, Standard 7A; Tanzania HTM primary 2023, Std III, heritage</t>
  </si>
  <si>
    <t xml:space="preserve">By level: 2: 2 new; 3: 2 new. Kilwa and Zanzibar are named on existing Swahili-coast cards and Olduvai belongs to T1-3-008, so none of them is an answer here. Phase 1.</t>
  </si>
  <si>
    <t xml:space="preserve">T1-3-030</t>
  </si>
  <si>
    <t xml:space="preserve">Village life then and now: an East African homestead and a Himalayan farm</t>
  </si>
  <si>
    <t xml:space="preserve">Grinding millet, herding, carrying water, weaving, a Himalayan farmhouse, stories at night; what changed and what stayed.</t>
  </si>
  <si>
    <t xml:space="preserve">By level: 1: 3 new; 2: 3 new. Many pupils still do these tasks; cards show them as lasting skills and compare the tools that changed. Also Asia. Phase 1.</t>
  </si>
  <si>
    <t xml:space="preserve">T1-3-031</t>
  </si>
  <si>
    <t xml:space="preserve">Heritage near us: Bhutan</t>
  </si>
  <si>
    <t xml:space="preserve">Archery, weaving on back-strap looms, thangka paintings, the national dress.</t>
  </si>
  <si>
    <t xml:space="preserve">NCHS K-4 Topic 4, Standard 7A; Bhutan Social Studies 2025, Class VI, culture and tradition</t>
  </si>
  <si>
    <t xml:space="preserve">By level: 2: 2 new; 3: 2 new. Split from the Tanzania row so that each region is counted on its own. Prayer flags carry script, so they are not shown. Dzongs belong to T1-3-024 and yaks to T1-3-014. Phase 1.</t>
  </si>
  <si>
    <t xml:space="preserve">T4-6-001</t>
  </si>
  <si>
    <t xml:space="preserve">4</t>
  </si>
  <si>
    <t xml:space="preserve">The long timeline</t>
  </si>
  <si>
    <t xml:space="preserve">Earth, life and the first humans on one timeline.</t>
  </si>
  <si>
    <t xml:space="preserve">H4.8</t>
  </si>
  <si>
    <t xml:space="preserve">WHFUA Big Era 1, Landscape 1.1; Big History Project Thresholds 1-6</t>
  </si>
  <si>
    <t xml:space="preserve">By level: 4: 4 new. An opening frame only. Phase 1.</t>
  </si>
  <si>
    <t xml:space="preserve">T4-6-002</t>
  </si>
  <si>
    <t xml:space="preserve">4, 5</t>
  </si>
  <si>
    <t xml:space="preserve">How we know: sources, dates and timelines</t>
  </si>
  <si>
    <t xml:space="preserve">BCE and CE, centuries, written and oral sources, dating by layers and carbon.</t>
  </si>
  <si>
    <t xml:space="preserve">H4.8, H5.7</t>
  </si>
  <si>
    <t xml:space="preserve">NCHS Historical Thinking Standard 1, Chronological Thinking; Cambridge Primary Humanities 0065, Past strand, how we construct the past; NCERT Exploring Society Grade 6, timeline and sources; Tanzania History O-level 2023, Form I</t>
  </si>
  <si>
    <t xml:space="preserve">By level: 4: 4 new; 5: 4 new. Phase 2.</t>
  </si>
  <si>
    <t xml:space="preserve">T4-6-003</t>
  </si>
  <si>
    <t xml:space="preserve">Human origins in Africa</t>
  </si>
  <si>
    <t xml:space="preserve">The oldest known stone tools at Lomekwi in Kenya, about 3.3 million years old; Homo habilis; Homo erectus and Turkana Boy; fire, certain by about 400,000 years ago, with possible traces at Wonderwerk about 1 million years ago; Homo sapiens about 300,000 years ago, with the oldest fossils at Jebel Irhoud in Morocco and Omo in Ethiopia; Neanderthals and Denisovans; how fossils and DNA are dated.</t>
  </si>
  <si>
    <t xml:space="preserve">H4.1</t>
  </si>
  <si>
    <t xml:space="preserve">WHFUA Big Era 1, Landscape 1.2; NCHS World History Era 1, Standard 1; Tanzania History O-level 2023, Form I</t>
  </si>
  <si>
    <t xml:space="preserve">By level: 4: 12 new. Dates checked against current finds; cards say 'the oldest found so far'. The oldest Oldowan tools are from Gona in Ethiopia, about 2.6 million years; the Olduvai tools are about 2 to 1.7 million years. Laetoli, Olduvai and Lucy are the answers of T1-3-008 and appear here only as context. Phase 1.</t>
  </si>
  <si>
    <t xml:space="preserve">T4-6-004</t>
  </si>
  <si>
    <t xml:space="preserve">Origin stories and what the evidence shows</t>
  </si>
  <si>
    <t xml:space="preserve">Creation stories as belief beside what bones, tools and DNA show.</t>
  </si>
  <si>
    <t xml:space="preserve">H4.2</t>
  </si>
  <si>
    <t xml:space="preserve">NCHS K-4 Topic 4, Standard 7A, folktales, legends and myths; Big History Project Unit 1, origin stories; Kenya KICD Junior School Grades 7 and 8</t>
  </si>
  <si>
    <t xml:space="preserve">By level: 4: 5 new. Stories are told with respect and marked as belief. Phase 1.</t>
  </si>
  <si>
    <t xml:space="preserve">T4-6-005</t>
  </si>
  <si>
    <t xml:space="preserve">Ice Age people and the peopling of the world</t>
  </si>
  <si>
    <t xml:space="preserve">Ice Age hunters, Blombos beads and ochre in South Africa, the Lascaux paintings, Beringia and the first Americans, language.</t>
  </si>
  <si>
    <t xml:space="preserve">H4.3</t>
  </si>
  <si>
    <t xml:space="preserve">WHFUA Big Era 2, Landscapes 2.1 and 2.2</t>
  </si>
  <si>
    <t xml:space="preserve">By level: 4: 9 new. Blombos and Lascaux belong to this row. The first Australians belong to T4-6-035. Phase 2.</t>
  </si>
  <si>
    <t xml:space="preserve">T4-6-006</t>
  </si>
  <si>
    <t xml:space="preserve">The farming revolution</t>
  </si>
  <si>
    <t xml:space="preserve">Gobekli Tepe built by hunter-gatherers, Catalhoyuk, farming invented in several regions, how farming spread, surplus and inequality.</t>
  </si>
  <si>
    <t xml:space="preserve">H4.4, H4.5, H4.6</t>
  </si>
  <si>
    <t xml:space="preserve">WHFUA Big Era 3, Landscapes 3.1 and 3.2; NCHS World History Era 1, Standard 2</t>
  </si>
  <si>
    <t xml:space="preserve">By level: 4: 12 new. Jericho belongs to T1-3-015. Phase 1.</t>
  </si>
  <si>
    <t xml:space="preserve">T4-6-007</t>
  </si>
  <si>
    <t xml:space="preserve">The green Sahara and Africa's first farmers</t>
  </si>
  <si>
    <t xml:space="preserve">Cattle herders, rock paintings of the green Sahara, sorghum, millet and teff.</t>
  </si>
  <si>
    <t xml:space="preserve">H4.4, H4.5</t>
  </si>
  <si>
    <t xml:space="preserve">WHFUA Big Era 3, Landscape 3.2; Kenya KICD Junior School Grade 7</t>
  </si>
  <si>
    <t xml:space="preserve">By level: 4: 6 new. Phase 1.</t>
  </si>
  <si>
    <t xml:space="preserve">T4-6-008</t>
  </si>
  <si>
    <t xml:space="preserve">Metals, wheels and horses</t>
  </si>
  <si>
    <t xml:space="preserve">Copper and bronze, wheels, the tamed horse, chariots, iron.</t>
  </si>
  <si>
    <t xml:space="preserve">H4.7</t>
  </si>
  <si>
    <t xml:space="preserve">NCHS World History Era 2, Standard 3; WHFUA Big Era 3, Landscape 3.4</t>
  </si>
  <si>
    <t xml:space="preserve">By level: 4: 8 new. Phase 1.</t>
  </si>
  <si>
    <t xml:space="preserve">T4-6-009</t>
  </si>
  <si>
    <t xml:space="preserve">5, 6</t>
  </si>
  <si>
    <t xml:space="preserve">Ancient Egypt</t>
  </si>
  <si>
    <t xml:space="preserve">Hatshepsut and the voyage to Punt, the Deir el-Medina tomb builders and the first recorded strike, Akhenaten's one-god belief marked as belief, medicine on papyrus.</t>
  </si>
  <si>
    <t xml:space="preserve">existing + new</t>
  </si>
  <si>
    <t xml:space="preserve">H5.1, H5.3, H5.6, H6.7</t>
  </si>
  <si>
    <t xml:space="preserve">NCHS World History Era 2, Standard 1; WHFUA Big Era 3, Landscape 3.3; Kenya KICD Junior School Grade 7</t>
  </si>
  <si>
    <t xml:space="preserve">ancient-egypt-pyramids</t>
  </si>
  <si>
    <t xml:space="preserve">By level: 5: 4 new; 6: 2 new, 1 existing. Counted as Africa. The Nile farmers, scribes, hieroglyphs, the afterlife and the Rosetta Stone are on the existing cards. Phase 2.</t>
  </si>
  <si>
    <t xml:space="preserve">T4-6-010</t>
  </si>
  <si>
    <t xml:space="preserve">Mesopotamia and the first law codes</t>
  </si>
  <si>
    <t xml:space="preserve">Sargon of Akkad, Enheduanna the first named author, counting in sixties, the library of Nineveh.</t>
  </si>
  <si>
    <t xml:space="preserve">H5.1, H5.2, H5.5, H6.7</t>
  </si>
  <si>
    <t xml:space="preserve">NCHS World History Era 2, Standard 1; WHFUA Big Era 3, Landscape 3.3; England National Curriculum 2013, KS2, Sumer</t>
  </si>
  <si>
    <t xml:space="preserve">mesopotamia, hammurabi</t>
  </si>
  <si>
    <t xml:space="preserve">By level: 5: 5 new; 6: 2 existing. Ziggurats, cuneiform, Babylon and the law stone are on the existing cards. Phase 2.</t>
  </si>
  <si>
    <t xml:space="preserve">T4-6-011</t>
  </si>
  <si>
    <t xml:space="preserve">5</t>
  </si>
  <si>
    <t xml:space="preserve">The Indus valley civilisation</t>
  </si>
  <si>
    <t xml:space="preserve">Harappa, Mohenjo-daro, drains, weights, seals, an unread script, why the cities declined.</t>
  </si>
  <si>
    <t xml:space="preserve">H5.1, H5.5, H5.7</t>
  </si>
  <si>
    <t xml:space="preserve">NCHS World History Era 2, Standard 1; WHFUA Big Era 3, Landscape 3.3; NCERT Exploring Society Grade 6</t>
  </si>
  <si>
    <t xml:space="preserve">By level: 5: 8 new. A gap in the existing sets. Cities declined as rivers and rain changed; there was no Aryan invasion. Seals are shown without readable signs. Phase 2.</t>
  </si>
  <si>
    <t xml:space="preserve">T4-6-012</t>
  </si>
  <si>
    <t xml:space="preserve">Early China: Shang and Zhou</t>
  </si>
  <si>
    <t xml:space="preserve">Oracle bones, bronze casting, the Mandate of Heaven.</t>
  </si>
  <si>
    <t xml:space="preserve">H5.1, H5.2</t>
  </si>
  <si>
    <t xml:space="preserve">NCHS World History Era 2, Standard 2; WHFUA Big Era 3, Landscape 3.3; England National Curriculum 2013, KS2, Shang</t>
  </si>
  <si>
    <t xml:space="preserve">By level: 5: 6 new. A gap in the existing sets. Oracle bones are shown without readable characters. Phase 2.</t>
  </si>
  <si>
    <t xml:space="preserve">T4-6-013</t>
  </si>
  <si>
    <t xml:space="preserve">How writing began around the world</t>
  </si>
  <si>
    <t xml:space="preserve">Writing invented separately in Mesoamerica; Linear B read by Michael Ventris.</t>
  </si>
  <si>
    <t xml:space="preserve">H5.2, H5.7</t>
  </si>
  <si>
    <t xml:space="preserve">NCHS World History Era 2, 1A; WHFUA Big Era 4, Landscape 4.6</t>
  </si>
  <si>
    <t xml:space="preserve">By level: 5: 2 new. Writing in Mesopotamia and old scripts read again are on existing cards. Avoid the Rosetta Stone motif. No readable signs in images. Phase 1.</t>
  </si>
  <si>
    <t xml:space="preserve">T4-6-014</t>
  </si>
  <si>
    <t xml:space="preserve">Kush and Nubia</t>
  </si>
  <si>
    <t xml:space="preserve">Kerma, the pharaohs from the south, iron and pyramids of Meroe.</t>
  </si>
  <si>
    <t xml:space="preserve">planned</t>
  </si>
  <si>
    <t xml:space="preserve">H5.4, H6.1</t>
  </si>
  <si>
    <t xml:space="preserve">NCHS World History Era 3, 1C; WHFUA Big Era 4, Landscape 4.3; Kenya KICD Junior School Grade 8</t>
  </si>
  <si>
    <t xml:space="preserve">By level: 5: 5 new; 6: 2 new. Raised from 3 to 7 cards because Egypt is the only ancient African state in the existing sets. Planned topic #89 on the Akelius topic list. Phase 1.</t>
  </si>
  <si>
    <t xml:space="preserve">T4-6-015</t>
  </si>
  <si>
    <t xml:space="preserve">Bronze Age Crete, Mycenae and the collapse</t>
  </si>
  <si>
    <t xml:space="preserve">Minoan palaces, the tin trade, the fall of states around 1200 BCE.</t>
  </si>
  <si>
    <t xml:space="preserve">H5.4</t>
  </si>
  <si>
    <t xml:space="preserve">NCHS World History Era 2, 2B and Standard 3</t>
  </si>
  <si>
    <t xml:space="preserve">By level: 5: 4 new. Phase 2.</t>
  </si>
  <si>
    <t xml:space="preserve">T4-6-016</t>
  </si>
  <si>
    <t xml:space="preserve">First civilisations of the Americas</t>
  </si>
  <si>
    <t xml:space="preserve">Caral, the Olmec, Chavin, Teotihuacan, Moche, Nazca.</t>
  </si>
  <si>
    <t xml:space="preserve">NCHS World History Era 3, Standard 4; WHFUA Big Era 3, Landscape 3.5, and Big Era 4, Landscape 4.6</t>
  </si>
  <si>
    <t xml:space="preserve">By level: 5: 8 new. A gap in the existing sets, which start the Americas with the Maya. Phase 1.</t>
  </si>
  <si>
    <t xml:space="preserve">T4-6-017</t>
  </si>
  <si>
    <t xml:space="preserve">The Phoenicians, Carthage and the voyage of Hanno</t>
  </si>
  <si>
    <t xml:space="preserve">Hanno's voyage along West Africa, Carthage's harbour and farms, Hannibal.</t>
  </si>
  <si>
    <t xml:space="preserve">H5.4, H6.7</t>
  </si>
  <si>
    <t xml:space="preserve">WHFUA Big Era 4, Landscape 4.1</t>
  </si>
  <si>
    <t xml:space="preserve">phoenicians-alphabet</t>
  </si>
  <si>
    <t xml:space="preserve">By level: 5: 2 new; 6: 1 new, 1 existing. Carthage lay in today's Tunisia; the existing Phoenician card is counted as Middle East. Carthage is named on phoenicians card 3, so answers are Hanno, Hannibal or the harbour, not Carthage. Phase 2.</t>
  </si>
  <si>
    <t xml:space="preserve">T4-6-018</t>
  </si>
  <si>
    <t xml:space="preserve">Ancient Israel and Judaism</t>
  </si>
  <si>
    <t xml:space="preserve">The Hebrew Bible, belief in one God, exile in Babylon, Torah and synagogue.</t>
  </si>
  <si>
    <t xml:space="preserve">H5.6, H6.3</t>
  </si>
  <si>
    <t xml:space="preserve">NCHS World History Era 3, Standard 1; Tanzania History A-level 2023, Form V</t>
  </si>
  <si>
    <t xml:space="preserve">By level: 5: 4 new; 6: 2 new. A gap: in the existing cards Jews appear mostly as victims. Abraham, Moses and the Exodus are told as tradition and belief; archaeology confirms the kingdoms of Israel and Judah and the exile. Phase 1.</t>
  </si>
  <si>
    <t xml:space="preserve">T4-6-019</t>
  </si>
  <si>
    <t xml:space="preserve">Hinduism, Jainism and the Vedic tradition</t>
  </si>
  <si>
    <t xml:space="preserve">The Vedas, dharma and karma, the epics, Mahavira, caste as history.</t>
  </si>
  <si>
    <t xml:space="preserve">NCHS World History Era 3, Standard 3; NCERT Exploring Society Grade 6, cultural roots</t>
  </si>
  <si>
    <t xml:space="preserve">By level: 5: 4 new; 6: 2 new. A gap in the existing sets. Belief marked as belief. Phase 2.</t>
  </si>
  <si>
    <t xml:space="preserve">T4-6-020</t>
  </si>
  <si>
    <t xml:space="preserve">Work, families and slavery in the ancient world</t>
  </si>
  <si>
    <t xml:space="preserve">Farmers, crafts, women and children, slavery, serfdom and free work compared.</t>
  </si>
  <si>
    <t xml:space="preserve">H5.3, H6.2</t>
  </si>
  <si>
    <t xml:space="preserve">WHFUA key theme Haves and Have-Nots; BNCC EF06HI17</t>
  </si>
  <si>
    <t xml:space="preserve">By level: 5: 4 new; 6: 3 new. The history of the 99 percent. Phase 2.</t>
  </si>
  <si>
    <t xml:space="preserve">T4-6-021</t>
  </si>
  <si>
    <t xml:space="preserve">Persia: the Achaemenid empire</t>
  </si>
  <si>
    <t xml:space="preserve">Cyrus, Darius, the Royal Road, the Cyrus Cylinder, Persepolis, Ahuramazda in royal inscriptions.</t>
  </si>
  <si>
    <t xml:space="preserve">H5.5, H6.1</t>
  </si>
  <si>
    <t xml:space="preserve">WHFUA Big Era 4, Landscape 4.4</t>
  </si>
  <si>
    <t xml:space="preserve">By level: 5: 2 new; 6: 4 new. A gap: Persia now appears only as Alexander's enemy. Persia is named on several existing cards, so answers are people, places or things such as Darius or the Royal Road. The Cyrus Cylinder praises Cyrus and tells how he returned gods and peoples to their homes; never call it the first human rights charter. Whether the kings were Zoroastrian is debated, so mark it as belief and as uncertain. Phase 2.</t>
  </si>
  <si>
    <t xml:space="preserve">T4-6-022</t>
  </si>
  <si>
    <t xml:space="preserve">6</t>
  </si>
  <si>
    <t xml:space="preserve">Ancient Greece and the Olympic Games</t>
  </si>
  <si>
    <t xml:space="preserve">Sparta, the Persian wars, Herodotus, Hippocrates.</t>
  </si>
  <si>
    <t xml:space="preserve">H6.2, H6.7</t>
  </si>
  <si>
    <t xml:space="preserve">NCHS World History Era 3, 2A; England National Curriculum 2013, KS2, Ancient Greece</t>
  </si>
  <si>
    <t xml:space="preserve">ancient-greece, olympic-games</t>
  </si>
  <si>
    <t xml:space="preserve">By level: 6: 4 new, 2 existing. City-states, democracy and theatre are on the existing cards. No Olympic rings. Phase 2.</t>
  </si>
  <si>
    <t xml:space="preserve">T4-6-023</t>
  </si>
  <si>
    <t xml:space="preserve">Socrates, Plato and Aristotle</t>
  </si>
  <si>
    <t xml:space="preserve">One simple card each on Socrates, Plato and Aristotle.</t>
  </si>
  <si>
    <t xml:space="preserve">existing</t>
  </si>
  <si>
    <t xml:space="preserve">H6.7</t>
  </si>
  <si>
    <t xml:space="preserve">NCHS World History Era 3, Standard 2</t>
  </si>
  <si>
    <t xml:space="preserve">socrates, plato, aristotle</t>
  </si>
  <si>
    <t xml:space="preserve">By level: 6: 3 existing.</t>
  </si>
  <si>
    <t xml:space="preserve">T4-6-024</t>
  </si>
  <si>
    <t xml:space="preserve">Alexander the Great</t>
  </si>
  <si>
    <t xml:space="preserve">One simple card on Alexander the Great.</t>
  </si>
  <si>
    <t xml:space="preserve">H6.1, H6.7</t>
  </si>
  <si>
    <t xml:space="preserve">alexander-the-great</t>
  </si>
  <si>
    <t xml:space="preserve">By level: 6: 1 existing.</t>
  </si>
  <si>
    <t xml:space="preserve">T4-6-025</t>
  </si>
  <si>
    <t xml:space="preserve">Archimedes and the scholars of Alexandria</t>
  </si>
  <si>
    <t xml:space="preserve">Euclid and the idea of proof, Eratosthenes measures the Earth, Hypatia, Hero's steam toy.</t>
  </si>
  <si>
    <t xml:space="preserve">H6.6, H6.7</t>
  </si>
  <si>
    <t xml:space="preserve">NCHS World History Era 3, Standard 2; WHFUA Big Era 4, Landscape 4.4</t>
  </si>
  <si>
    <t xml:space="preserve">archimedes</t>
  </si>
  <si>
    <t xml:space="preserve">By level: 6: 6 new, 1 existing. The library of Alexandria is on an existing card. If a card mentions it: the library shrank over centuries, with no single great fire. Hypatia was killed in 415 in a political feud; her death did not end ancient science. Planned topics #60, #70 on the Akelius topic list. Phase 1.</t>
  </si>
  <si>
    <t xml:space="preserve">T4-6-026</t>
  </si>
  <si>
    <t xml:space="preserve">Confucius, Laozi and the Hundred Schools</t>
  </si>
  <si>
    <t xml:space="preserve">Laozi and Daoism, Mencius, Mozi, the Legalists.</t>
  </si>
  <si>
    <t xml:space="preserve">H5.6, H6.7</t>
  </si>
  <si>
    <t xml:space="preserve">WHFUA Big Era 4, Landscape 4.2</t>
  </si>
  <si>
    <t xml:space="preserve">confucius</t>
  </si>
  <si>
    <t xml:space="preserve">By level: 5: 3 new; 6: 1 new, 1 existing. Confucian rule is on the existing cards. Phase 2.</t>
  </si>
  <si>
    <t xml:space="preserve">T4-6-027</t>
  </si>
  <si>
    <t xml:space="preserve">The Buddha and Buddhism in the Himalaya</t>
  </si>
  <si>
    <t xml:space="preserve">Guru Rinpoche and Taktsang, Songtsen Gampo and the first temples of Tibet and Bhutan, Mahayana and Theravada.</t>
  </si>
  <si>
    <t xml:space="preserve">H5.6, H6.3, H6.7</t>
  </si>
  <si>
    <t xml:space="preserve">NCHS World History Era 4, 1B; Bhutan Social Studies 2025, Class IV; Bhutan History Framework 2022, Class VIII</t>
  </si>
  <si>
    <t xml:space="preserve">siddhartha-gautama</t>
  </si>
  <si>
    <t xml:space="preserve">By level: 5: 2 new; 6: 4 new, 1 existing. The first cards that name Bhutan. Bhutanese tradition says Guru Rinpoche came in the 700s; the story of his flight to Taktsang is marked as tradition, and so is the founding of the first temples. Phase 1.</t>
  </si>
  <si>
    <t xml:space="preserve">T4-6-028</t>
  </si>
  <si>
    <t xml:space="preserve">Rome: republic and empire</t>
  </si>
  <si>
    <t xml:space="preserve">Pompeii, Spartacus, Leptis Magna in Roman Africa, Roman women and families.</t>
  </si>
  <si>
    <t xml:space="preserve">H5.3, H6.1, H6.2, H6.7</t>
  </si>
  <si>
    <t xml:space="preserve">NCHS World History Era 3, 3A; NCERT Themes in World History Class 11, An Empire Across Three Continents</t>
  </si>
  <si>
    <t xml:space="preserve">roman-republic-empire, julius-caesar, augustus</t>
  </si>
  <si>
    <t xml:space="preserve">By level: 5: 2 new; 6: 2 new, 3 existing. Roads, aqueducts and citizens are on the existing cards. Phase 2.</t>
  </si>
  <si>
    <t xml:space="preserve">T4-6-029</t>
  </si>
  <si>
    <t xml:space="preserve">Jesus and the spread of Christianity</t>
  </si>
  <si>
    <t xml:space="preserve">Early communities, Paul's journeys, Constantine's freedom of worship in 313, Theodosius makes it the state religion in 380, Armenia's early church.</t>
  </si>
  <si>
    <t xml:space="preserve">H6.3, H6.7</t>
  </si>
  <si>
    <t xml:space="preserve">NCHS World History Era 3, Standard 3, and Era 4, 1B</t>
  </si>
  <si>
    <t xml:space="preserve">jesus-of-nazareth</t>
  </si>
  <si>
    <t xml:space="preserve">By level: 6: 4 new, 1 existing. Jesus only from afar or from behind. Belief marked as belief. Aksum belongs to T4-6-033. Phase 2.</t>
  </si>
  <si>
    <t xml:space="preserve">T4-6-030</t>
  </si>
  <si>
    <t xml:space="preserve">Ashoka, the Maurya and the Gupta age</t>
  </si>
  <si>
    <t xml:space="preserve">Decimal place value in the Gupta age, Aryabhata in 499, Nalanda, the iron pillar of Delhi, and after the Gupta age Brahmagupta's rules for zero in 628.</t>
  </si>
  <si>
    <t xml:space="preserve">H5.5, H6.1, H6.6, H6.7</t>
  </si>
  <si>
    <t xml:space="preserve">NCHS World History Era 4, 1C; NCERT Exploring Society Grade 7, the Gupta era</t>
  </si>
  <si>
    <t xml:space="preserve">ashoka</t>
  </si>
  <si>
    <t xml:space="preserve">By level: 5: 2 new; 6: 4 new, 1 existing. Ashoka's edicts are on the existing cards. Brahmagupta worked after the Gupta empire fell. Planned topic #63 on the Akelius topic list. Phase 1.</t>
  </si>
  <si>
    <t xml:space="preserve">T4-6-031</t>
  </si>
  <si>
    <t xml:space="preserve">The first emperor and Han China</t>
  </si>
  <si>
    <t xml:space="preserve">Liu Bang and Han rule, officials chosen by recommendation and trained at the Imperial Academy, Zhang Heng's earthquake detector, the historian Ban Zhao.</t>
  </si>
  <si>
    <t xml:space="preserve">H5.3, H6.1, H6.6, H6.7</t>
  </si>
  <si>
    <t xml:space="preserve">WHFUA Big Era 4, Landscapes 4.2 and 4.5</t>
  </si>
  <si>
    <t xml:space="preserve">qin-shi-huangdi</t>
  </si>
  <si>
    <t xml:space="preserve">By level: 5: 2 new; 6: 3 new, 1 existing. Han China is a gap in the existing sets. Written exams for officials start under the Sui and Tang and belong to T7-9-007. Paper was in use in the 100s BCE and improved by Cai Lun in 105 CE; the paper card itself is in T1-3-016. Sima Qian is named on qin card 5, so he is never an answer. Phase 2.</t>
  </si>
  <si>
    <t xml:space="preserve">T4-6-032</t>
  </si>
  <si>
    <t xml:space="preserve">The Silk Road</t>
  </si>
  <si>
    <t xml:space="preserve">Sogdian merchants and their letters, paper known in Central Asia before Islam.</t>
  </si>
  <si>
    <t xml:space="preserve">H6.4, H6.7</t>
  </si>
  <si>
    <t xml:space="preserve">WHFUA Big Era 4, Landscape 4.5</t>
  </si>
  <si>
    <t xml:space="preserve">silk-road</t>
  </si>
  <si>
    <t xml:space="preserve">By level: 6: 2 new, 1 existing. Envoys, silk, horses, Buddhism, Samarkand and Chang'an are on the existing cards. The story that prisoners from the battle of Talas in 751 brought papermaking west is a later legend; silk-road card 3 tells it as 'a story says', and a new card tests it only as a myth. Phase 2.</t>
  </si>
  <si>
    <t xml:space="preserve">T4-6-033</t>
  </si>
  <si>
    <t xml:space="preserve">Aksum</t>
  </si>
  <si>
    <t xml:space="preserve">Obelisks, coins, a Christian kingdom, Red Sea trade with India.</t>
  </si>
  <si>
    <t xml:space="preserve">H5.5, H6.1, H6.3</t>
  </si>
  <si>
    <t xml:space="preserve">NCHS World History Era 3, 1C; WHFUA Big Era 4, Landscape 4.3; Kenya KICD Senior School Grade 10</t>
  </si>
  <si>
    <t xml:space="preserve">By level: 5: 2 new; 6: 4 new. Aksum belongs to this row. The Queen of Sheba and the Ark of the Covenant are told as legend from the Kebra Nagast. Planned topic #90 on the Akelius topic list. Phase 1.</t>
  </si>
  <si>
    <t xml:space="preserve">T4-6-034</t>
  </si>
  <si>
    <t xml:space="preserve">The Bantu expansion, iron and the Nok</t>
  </si>
  <si>
    <t xml:space="preserve">Bantu-speaking farmers spread from near today's Cameroon and mixed with other peoples; iron working; the Nok of Nigeria, a different people; Swahili's language family; Nilotes and Cushites.</t>
  </si>
  <si>
    <t xml:space="preserve">H5.4, H6.5</t>
  </si>
  <si>
    <t xml:space="preserve">NCHS World History Era 4, 5A; WHFUA Big Era 4, Landscape 4.3; Tanzania HTM Form I 2023</t>
  </si>
  <si>
    <t xml:space="preserve">By level: 5: 3 new; 6: 7 new. Local for Tanzania. Tanzanian syllabi say migration; cards explain both words, migration and gradual spread. Phase 1.</t>
  </si>
  <si>
    <t xml:space="preserve">T4-6-035</t>
  </si>
  <si>
    <t xml:space="preserve">4, 6</t>
  </si>
  <si>
    <t xml:space="preserve">First Australians and Pacific voyagers</t>
  </si>
  <si>
    <t xml:space="preserve">Aboriginal Australians and their 65,000-year story, Lapita sailors and their pottery.</t>
  </si>
  <si>
    <t xml:space="preserve">H4.3, H6.4</t>
  </si>
  <si>
    <t xml:space="preserve">WHFUA Big Era 2, Landscape 2.1; WHFUA Big Era 3, Landscape 3.6</t>
  </si>
  <si>
    <t xml:space="preserve">By level: 4: 2 new; 6: 3 new. WHFUA Landscape 3.6 is still in development. Lapita belongs to this row; later Polynesian voyages belong to T7-9-020. Phase 1.</t>
  </si>
  <si>
    <t xml:space="preserve">T4-6-036</t>
  </si>
  <si>
    <t xml:space="preserve">The first coins</t>
  </si>
  <si>
    <t xml:space="preserve">Lydian coins, Chinese spade coins, Indian punch-marked coins.</t>
  </si>
  <si>
    <t xml:space="preserve">H6.6</t>
  </si>
  <si>
    <t xml:space="preserve">WHFUA key theme Economic Networks and Exchange</t>
  </si>
  <si>
    <t xml:space="preserve">By level: 6: 3 new. Cowries and markets belong to T1-3-018. The level-3 coin card there shows what coins were for; these cards say where they began. Phase 2.</t>
  </si>
  <si>
    <t xml:space="preserve">T4-6-037</t>
  </si>
  <si>
    <t xml:space="preserve">The Maya</t>
  </si>
  <si>
    <t xml:space="preserve">The ball game, Lady Six Sky of Naranjo, raised fields.</t>
  </si>
  <si>
    <t xml:space="preserve">NCHS World History Era 4, Standard 6; WHFUA Big Era 4, Landscape 4.6</t>
  </si>
  <si>
    <t xml:space="preserve">maya</t>
  </si>
  <si>
    <t xml:space="preserve">By level: 6: 3 new, 1 existing. City-states, maize, the calendar, zero and glyphs are on the existing cards. Phase 2.</t>
  </si>
  <si>
    <t xml:space="preserve">T4-6-038</t>
  </si>
  <si>
    <t xml:space="preserve">Traditional leadership in Africa and Asia</t>
  </si>
  <si>
    <t xml:space="preserve">Councils of elders, Maasai age sets, Nyamwezi chiefdoms, Buganda's kabaka and council, Bhutan's village leaders.</t>
  </si>
  <si>
    <t xml:space="preserve">H5.8</t>
  </si>
  <si>
    <t xml:space="preserve">WHFUA key theme Uses and Abuses of Power; Kenya KICD Upper Primary Grades 5 and 6; Tanzania HTM primary 2023, Std IV</t>
  </si>
  <si>
    <t xml:space="preserve">By level: 5: 6 new. Each example gets a century, and cards say that colonial rule changed or created some chiefships. Also Asia: Bhutan. Phase 1.</t>
  </si>
  <si>
    <t xml:space="preserve">T4-6-039</t>
  </si>
  <si>
    <t xml:space="preserve">First look: the medieval world</t>
  </si>
  <si>
    <t xml:space="preserve">One simple card each on Muhammad, Byzantium, the Vikings, the Crusades, the Black Death, Genghis Khan, Joan of Arc, al-Khwarizmi, Ibn Sina, the House of Wisdom, Ibn Battuta, Mansa Musa, the Swahili coast, Zheng He, the Aztecs and the Inca.</t>
  </si>
  <si>
    <t xml:space="preserve">WHFUA Panorama, Big Era 5; NCHS Historical Thinking Standard 1</t>
  </si>
  <si>
    <t xml:space="preserve">muhammad, byzantine-empire, vikings, crusades, black-death, genghis-khan, joan-of-arc, al-khwarizmi, ibn-sina, house-of-wisdom, ibn-battuta, mansa-musa, swahili-coast, zheng-he, aztecs, inca</t>
  </si>
  <si>
    <t xml:space="preserve">By level: 6: 16 existing. Depth follows at level 7.</t>
  </si>
  <si>
    <t xml:space="preserve">T4-6-040</t>
  </si>
  <si>
    <t xml:space="preserve">First look: the early modern world</t>
  </si>
  <si>
    <t xml:space="preserve">One simple card each on the Renaissance, Leonardo, Gutenberg, Columbus, Magellan, Copernicus, Galileo, Newton, the Reformation, Luther, Akbar, the Ottoman Empire, the transatlantic slave trade and the Enlightenment.</t>
  </si>
  <si>
    <t xml:space="preserve">WHFUA Panorama, Big Era 6; NCHS Historical Thinking Standard 1</t>
  </si>
  <si>
    <t xml:space="preserve">renaissance, leonardo-da-vinci, johannes-gutenberg, christopher-columbus, ferdinand-magellan, nicolaus-copernicus, galileo-galilei, isaac-newton, protestant-reformation, martin-luther, akbar, ottoman-empire, transatlantic-slave-trade, the-enlightenment</t>
  </si>
  <si>
    <t xml:space="preserve">By level: 6: 14 existing. Depth follows at level 8.</t>
  </si>
  <si>
    <t xml:space="preserve">T4-6-041</t>
  </si>
  <si>
    <t xml:space="preserve">First look: revolutions, industry and empire</t>
  </si>
  <si>
    <t xml:space="preserve">One simple card each on the American and French revolutions, Washington, Napoleon, Haiti, Bolivar, the Industrial Revolution, Darwin, Pasteur, Nightingale, Marx, the Meiji Restoration and the Scramble for Africa.</t>
  </si>
  <si>
    <t xml:space="preserve">H6.7, H6.8</t>
  </si>
  <si>
    <t xml:space="preserve">WHFUA Panorama, Big Era 7; NCHS Historical Thinking Standard 1</t>
  </si>
  <si>
    <t xml:space="preserve">american-revolution, george-washington, french-revolution, napoleon-bonaparte, haitian-revolution, simon-bolivar, industrial-revolution, charles-darwin, louis-pasteur, florence-nightingale, karl-marx, meiji-restoration, scramble-for-africa</t>
  </si>
  <si>
    <t xml:space="preserve">By level: 6: 13 existing. Depth follows at level 9.</t>
  </si>
  <si>
    <t xml:space="preserve">T4-6-042</t>
  </si>
  <si>
    <t xml:space="preserve">First look: the twentieth century</t>
  </si>
  <si>
    <t xml:space="preserve">One simple card each on the two world wars, Hitler, Churchill, Gandhi, Einstein, Curie, Turing, the United Nations, the Cold War, the Berlin Wall, the Moon landing, King, Mandela, African independence and Borlaug.</t>
  </si>
  <si>
    <t xml:space="preserve">WHFUA Panorama, Big Eras 8 and 9; NCHS Historical Thinking Standard 1</t>
  </si>
  <si>
    <t xml:space="preserve">world-war-i, adolf-hitler, world-war-ii, winston-churchill, mahatma-gandhi, albert-einstein, marie-curie, alan-turing, united-nations, cold-war, fall-of-the-berlin-wall, first-moon-landing, martin-luther-king, nelson-mandela, african-independence, norman-borlaug</t>
  </si>
  <si>
    <t xml:space="preserve">By level: 6: 16 existing. Depth follows at levels 10 and 11.</t>
  </si>
  <si>
    <t xml:space="preserve">T4-6-043</t>
  </si>
  <si>
    <t xml:space="preserve">First look: Africa from Lalibela to independence</t>
  </si>
  <si>
    <t xml:space="preserve">Lalibela, Great Zimbabwe, Benin City, Queen Nzinga, Mkwawa of the Hehe, the Maji Maji war, Nyerere's Tanganyika.</t>
  </si>
  <si>
    <t xml:space="preserve">WHFUA Panorama units, Big Eras 5-9; Tanzania HTM primary 2023, Std V and VI</t>
  </si>
  <si>
    <t xml:space="preserve">By level: 6: 9 new. Added so that level 6 is not mostly Europe. Each card takes a facet the owning row at a later level does not use. Timbuktu, Adwa and Tanganyika in 1961 are named on existing cards, so they are context, not answers. Phase 2.</t>
  </si>
  <si>
    <t xml:space="preserve">T4-6-044</t>
  </si>
  <si>
    <t xml:space="preserve">First look: Asia</t>
  </si>
  <si>
    <t xml:space="preserve">Tang block printing, Sejong's hangul, Angkor, Hampi in Vijayanagara, the Zhabdrung unites Bhutan, the long Tokugawa peace, the Opium War, Sukarno and Indonesia's independence.</t>
  </si>
  <si>
    <t xml:space="preserve">WHFUA Panorama units, Big Eras 5-9; Bhutan Social Studies 2025, Class V</t>
  </si>
  <si>
    <t xml:space="preserve">By level: 6: 8 new. Added so that level 6 is not mostly Europe. Each card takes a facet the owning row does not use. No script in images. Phase 2.</t>
  </si>
  <si>
    <t xml:space="preserve">T4-6-045</t>
  </si>
  <si>
    <t xml:space="preserve">First look: Latin America and the Middle East</t>
  </si>
  <si>
    <t xml:space="preserve">Potosi's silver mountain, Palmares, Mexico's land and liberty, the Suez Canal of 1869, Isfahan's great square.</t>
  </si>
  <si>
    <t xml:space="preserve">WHFUA Panorama units, Big Eras 6-8; BNCC 7th year</t>
  </si>
  <si>
    <t xml:space="preserve">By level: 6: 5 new. Also Middle East. Each card takes a facet the owning row does not use. Phase 2.</t>
  </si>
  <si>
    <t xml:space="preserve">T4-6-046</t>
  </si>
  <si>
    <t xml:space="preserve">African and local religions as history</t>
  </si>
  <si>
    <t xml:space="preserve">Ancestors and spirits, Yoruba orisha, Bon and local deities in Bhutan, Shinto, how missionaries and colonial rulers described them.</t>
  </si>
  <si>
    <t xml:space="preserve">WHFUA key theme Spiritual Life and Moral Codes; Tanzania History A-level 2023, Form V, religion and the state; Bhutan History Framework 2022, Class VIII; Tanzania HTM primary 2023, Std III</t>
  </si>
  <si>
    <t xml:space="preserve">By level: 5: 3 new; 6: 3 new. Added because African and local religions had no row. Belief as belief; no secret sacred objects. Also Asia. Phase 2.</t>
  </si>
  <si>
    <t xml:space="preserve">T7-9-001</t>
  </si>
  <si>
    <t xml:space="preserve">7, 9</t>
  </si>
  <si>
    <t xml:space="preserve">Byzantium and Kievan Rus</t>
  </si>
  <si>
    <t xml:space="preserve">Cyril and Methodius, Vladimir's choice of faith in 988, Empress Theodora.</t>
  </si>
  <si>
    <t xml:space="preserve">H7.8, H9.7</t>
  </si>
  <si>
    <t xml:space="preserve">NCHS World History Era 4, 2C</t>
  </si>
  <si>
    <t xml:space="preserve">byzantine-empire</t>
  </si>
  <si>
    <t xml:space="preserve">By level: 7: 3 new; 9: 1 existing. Rus trade with Constantinople is on an existing Viking card. No letters in images. Phase 2.</t>
  </si>
  <si>
    <t xml:space="preserve">T7-9-002</t>
  </si>
  <si>
    <t xml:space="preserve">Muhammad, the caliphates and the spread of Islam</t>
  </si>
  <si>
    <t xml:space="preserve">The Sasanian empire that Islam replaced, Umayyads, Abbasids, Sunni and Shia, Islam carried by traders to Africa and Asia.</t>
  </si>
  <si>
    <t xml:space="preserve">H7.1, H9.7</t>
  </si>
  <si>
    <t xml:space="preserve">NCHS World History Era 4, 2A and Standard 2; WHFUA Big Era 5, Landscape 5.2</t>
  </si>
  <si>
    <t xml:space="preserve">muhammad</t>
  </si>
  <si>
    <t xml:space="preserve">By level: 7: 8 new; 9: 1 existing. Muhammad is never shown; no calligraphy. Belief marked as belief. Cordoba and al-Andalus belong to T7-9-003. Phase 1.</t>
  </si>
  <si>
    <t xml:space="preserve">T7-9-003</t>
  </si>
  <si>
    <t xml:space="preserve">Baghdad, Cordoba and Islamic scholars</t>
  </si>
  <si>
    <t xml:space="preserve">Cordoba and al-Andalus, Maimonides, Ibn Khaldun, Rumi.</t>
  </si>
  <si>
    <t xml:space="preserve">NCHS World History Era 4, Standard 2; WHFUA Big Era 5, Landscape 5.2; England National Curriculum 2013, KS2, Baghdad c. AD 900</t>
  </si>
  <si>
    <t xml:space="preserve">al-khwarizmi, ibn-sina, house-of-wisdom</t>
  </si>
  <si>
    <t xml:space="preserve">By level: 7: 6 new; 9: 3 existing. Ibn Rushd is named on aristotle card 5, so he is context only. No calligraphy. Planned topics #73, #117 on the Akelius topic list. Phase 1.</t>
  </si>
  <si>
    <t xml:space="preserve">T7-9-004</t>
  </si>
  <si>
    <t xml:space="preserve">9</t>
  </si>
  <si>
    <t xml:space="preserve">The Vikings</t>
  </si>
  <si>
    <t xml:space="preserve">One card on the Vikings at level 9.</t>
  </si>
  <si>
    <t xml:space="preserve">H9.7</t>
  </si>
  <si>
    <t xml:space="preserve">NCHS World History Era 4, Standard 4</t>
  </si>
  <si>
    <t xml:space="preserve">vikings</t>
  </si>
  <si>
    <t xml:space="preserve">By level: 9: 1 existing. No horned helmets.</t>
  </si>
  <si>
    <t xml:space="preserve">T7-9-005</t>
  </si>
  <si>
    <t xml:space="preserve">Medieval Europe: lords, peasants, nuns, monks and towns</t>
  </si>
  <si>
    <t xml:space="preserve">Manor and serfs, women's work on the land, guilds, universities, Hildegard of Bingen, Christine de Pizan, Charlemagne, Magna Carta.</t>
  </si>
  <si>
    <t xml:space="preserve">H7.2, H9.7</t>
  </si>
  <si>
    <t xml:space="preserve">NCHS World History Era 5, Standard 2; NCERT Themes in World History Class 11, The Three Orders; Bhutan History Framework 2022, Class VII, feudalism</t>
  </si>
  <si>
    <t xml:space="preserve">joan-of-arc</t>
  </si>
  <si>
    <t xml:space="preserve">By level: 7: 8 new; 9: 1 existing. Women make up at least a third of the people named. Planned topics #118, #119 on the Akelius topic list. Phase 1.</t>
  </si>
  <si>
    <t xml:space="preserve">T7-9-006</t>
  </si>
  <si>
    <t xml:space="preserve">The Crusades and Saladin</t>
  </si>
  <si>
    <t xml:space="preserve">Jerusalem in 1099 and 1187, Saladin and the truce of 1192, attacks on Jews in 1096, the sack of Constantinople in 1204, crusades in Spain and the Baltic, how Byzantines, Eastern Christians and Jews saw them.</t>
  </si>
  <si>
    <t xml:space="preserve">NCHS World History Era 5, 2B; WHFUA Big Era 5, Landscape 5.3</t>
  </si>
  <si>
    <t xml:space="preserve">crusades</t>
  </si>
  <si>
    <t xml:space="preserve">By level: 7: 4 new; 9: 1 existing. Balanced, more than two sides. Trade across the sea and the two-books view are on existing crusades cards. No gore. Planned topic #115 on the Akelius topic list. Phase 1.</t>
  </si>
  <si>
    <t xml:space="preserve">T7-9-007</t>
  </si>
  <si>
    <t xml:space="preserve">7</t>
  </si>
  <si>
    <t xml:space="preserve">Tang and Song China</t>
  </si>
  <si>
    <t xml:space="preserve">Wu Zetian, written exams for officials, block printing, gunpowder, the compass, paper money.</t>
  </si>
  <si>
    <t xml:space="preserve">H7.4</t>
  </si>
  <si>
    <t xml:space="preserve">NCHS World History Era 4, Standard 3, and Era 5, Standard 1; AP World History: Modern Unit 1, KC-3.1.I.D</t>
  </si>
  <si>
    <t xml:space="preserve">By level: 7: 9 new. A gap in the existing sets. Written exams for officials begin under the Sui and Tang. No readable characters in images. Phase 2.</t>
  </si>
  <si>
    <t xml:space="preserve">T7-9-008</t>
  </si>
  <si>
    <t xml:space="preserve">Korea and Japan before 1600</t>
  </si>
  <si>
    <t xml:space="preserve">Goryeo metal type, Sejong's hangul, Murasaki Shikibu, samurai.</t>
  </si>
  <si>
    <t xml:space="preserve">NCHS World History Era 4, Standard 3</t>
  </si>
  <si>
    <t xml:space="preserve">By level: 7: 8 new. Korea is a gap in the existing sets. No script in images. Planned topic #101 on the Akelius topic list. Phase 1.</t>
  </si>
  <si>
    <t xml:space="preserve">T7-9-009</t>
  </si>
  <si>
    <t xml:space="preserve">The Silk Road in its great age</t>
  </si>
  <si>
    <t xml:space="preserve">One card on the Silk Road at level 9.</t>
  </si>
  <si>
    <t xml:space="preserve">WHFUA Big Era 5, Landscape 5.3</t>
  </si>
  <si>
    <t xml:space="preserve">By level: 9: 1 existing. New Silk Road cards are in T4-6-032, since Samarkand and Marco Polo are on existing cards. The Talas paper story is a later legend; paper was known in Central Asia before Islam and made in Baghdad by about 800.</t>
  </si>
  <si>
    <t xml:space="preserve">T7-9-010</t>
  </si>
  <si>
    <t xml:space="preserve">Genghis Khan and the Mongol empires</t>
  </si>
  <si>
    <t xml:space="preserve">Kublai Khan and the Yuan, the failed invasions of Japan, the Golden Horde, Sorghaghtani Beki, Timur.</t>
  </si>
  <si>
    <t xml:space="preserve">H7.5, H9.7</t>
  </si>
  <si>
    <t xml:space="preserve">WHFUA Big Era 5, Landscape 5.4; NCHS World History Era 5, Standard 3</t>
  </si>
  <si>
    <t xml:space="preserve">genghis-khan</t>
  </si>
  <si>
    <t xml:space="preserve">By level: 7: 6 new; 9: 1 existing. Marco Polo and Baghdad in 1258 are on existing cards. No gore. Phase 2.</t>
  </si>
  <si>
    <t xml:space="preserve">T7-9-011</t>
  </si>
  <si>
    <t xml:space="preserve">The Black Death and the 1300s</t>
  </si>
  <si>
    <t xml:space="preserve">Plague from Central Asia, through the Golden Horde and Caffa to Cairo, Damascus and Europe; revolts after it; why we do not know if it reached China.</t>
  </si>
  <si>
    <t xml:space="preserve">WHFUA Big Era 5, Landscape 5.5; NCHS World History Era 5, Standard 5</t>
  </si>
  <si>
    <t xml:space="preserve">black-death</t>
  </si>
  <si>
    <t xml:space="preserve">By level: 7: 3 new; 9: 1 existing. Ancient DNA traces the strain of the 1340s to the Tian Shan area around 1338; Chinese records of the same years cannot be shown to be plague. Also Middle East and Asia. Phase 2.</t>
  </si>
  <si>
    <t xml:space="preserve">T7-9-012</t>
  </si>
  <si>
    <t xml:space="preserve">Mali and the empires of West Africa</t>
  </si>
  <si>
    <t xml:space="preserve">The Ghana empire and Koumbi Saleh, Sundiata and the griots' epic, Kanem-Bornu, the mud mosque of Djenne, the Hausa city-states.</t>
  </si>
  <si>
    <t xml:space="preserve">H7.3, H7.7, H9.7</t>
  </si>
  <si>
    <t xml:space="preserve">NCHS World History Era 5, Standard 4; WHFUA Big Era 5, Landscape 5.3; AP World History: Modern Unit 1; Kenya KICD Senior School Grade 12</t>
  </si>
  <si>
    <t xml:space="preserve">mansa-musa</t>
  </si>
  <si>
    <t xml:space="preserve">By level: 7: 8 new; 9: 1 existing. Timbuktu, its manuscripts, Mali and Songhai are named on existing cards, so they are context, not answers. African-independence card 2 names modern Ghana, so the answer is 'the Ghana empire' or Koumbi Saleh. Phase 2.</t>
  </si>
  <si>
    <t xml:space="preserve">T7-9-013</t>
  </si>
  <si>
    <t xml:space="preserve">The Swahili coast and the Indian Ocean</t>
  </si>
  <si>
    <t xml:space="preserve">Songo Mnara, Pate and Lamu, Swahili houses and daily life, the Kilwa Chronicle as a source.</t>
  </si>
  <si>
    <t xml:space="preserve">WHFUA Big Era 5, Landscape 5.3; NCHS World History Era 5, Standard 4; Tanzania History O-level 2023, Form II; Kenya KICD Junior School Grade 8</t>
  </si>
  <si>
    <t xml:space="preserve">swahili-coast</t>
  </si>
  <si>
    <t xml:space="preserve">By level: 7: 6 new; 9: 1 existing. Local for Tanzania. Dhows, the monsoon, Kilwa coins and Zanzibar are on existing cards; Kilwa and Zanzibar are never answers. Phase 1.</t>
  </si>
  <si>
    <t xml:space="preserve">T7-9-014</t>
  </si>
  <si>
    <t xml:space="preserve">Great Zimbabwe and southern Africa</t>
  </si>
  <si>
    <t xml:space="preserve">Mapungubwe, the stone walls, the gold trade, the false colonial claim about who built it.</t>
  </si>
  <si>
    <t xml:space="preserve">H7.3, H7.7</t>
  </si>
  <si>
    <t xml:space="preserve">NCHS World History Era 5, Standard 4; AP World History: Modern Unit 1; Kenya KICD Junior School Grade 7</t>
  </si>
  <si>
    <t xml:space="preserve">By level: 7: 6 new. Great Zimbabwe belongs to this row. Planned topic #91 on the Akelius topic list. Phase 1.</t>
  </si>
  <si>
    <t xml:space="preserve">T7-9-015</t>
  </si>
  <si>
    <t xml:space="preserve">Ethiopia and Lalibela</t>
  </si>
  <si>
    <t xml:space="preserve">Rock-cut churches and the highland kingdom.</t>
  </si>
  <si>
    <t xml:space="preserve">H7.3</t>
  </si>
  <si>
    <t xml:space="preserve">NCHS World History Era 5, Standard 4; Kenya KICD Junior School Grade 9, rock-hewn churches</t>
  </si>
  <si>
    <t xml:space="preserve">By level: 7: 5 new. Lalibela belongs to this row. Ethiopia is named on existing cards, so answers are Lalibela or its king. Phase 2.</t>
  </si>
  <si>
    <t xml:space="preserve">T7-9-016</t>
  </si>
  <si>
    <t xml:space="preserve">7, 8</t>
  </si>
  <si>
    <t xml:space="preserve">Ife, Benin and the forest kingdoms</t>
  </si>
  <si>
    <t xml:space="preserve">Ife heads, Benin's walls, the Oba, the bronze guilds, Oyo.</t>
  </si>
  <si>
    <t xml:space="preserve">H7.3, H8.8</t>
  </si>
  <si>
    <t xml:space="preserve">NCHS World History Era 5, Standard 4, and Era 6, Standard 4; England National Curriculum 2013, KS2, Benin; Kenya KICD Senior School Grade 12</t>
  </si>
  <si>
    <t xml:space="preserve">By level: 7: 4 new; 8: 2 new. The return of the Benin bronzes belongs to T10-U-007. Phase 2.</t>
  </si>
  <si>
    <t xml:space="preserve">T7-9-017</t>
  </si>
  <si>
    <t xml:space="preserve">Ibn Battuta</t>
  </si>
  <si>
    <t xml:space="preserve">One card on Ibn Battuta at level 9.</t>
  </si>
  <si>
    <t xml:space="preserve">WHFUA Big Era 5, Landscape 5.3; NCERT Themes in Indian History Class 12, travellers</t>
  </si>
  <si>
    <t xml:space="preserve">ibn-battuta</t>
  </si>
  <si>
    <t xml:space="preserve">By level: 9: 1 existing. Counted as Africa.</t>
  </si>
  <si>
    <t xml:space="preserve">T7-9-018</t>
  </si>
  <si>
    <t xml:space="preserve">The Delhi Sultanate and Vijayanagara</t>
  </si>
  <si>
    <t xml:space="preserve">Delhi's sultans, the Mongols held off, Hampi.</t>
  </si>
  <si>
    <t xml:space="preserve">H7.1</t>
  </si>
  <si>
    <t xml:space="preserve">AP World History: Modern Unit 1; NCERT Themes in Indian History Class 12, Vijayanagara</t>
  </si>
  <si>
    <t xml:space="preserve">By level: 7: 5 new. Factual and balanced. Delhi is named on an existing Ibn Battuta card, so answers are Vijayanagara, Hampi or a named sultan. Phase 2.</t>
  </si>
  <si>
    <t xml:space="preserve">T7-9-019</t>
  </si>
  <si>
    <t xml:space="preserve">Southeast Asia: Srivijaya to Dai Viet</t>
  </si>
  <si>
    <t xml:space="preserve">The Malacca strait, Borobudur, Angkor's water works, the Chola fleet of 1025, Majapahit, Islam in Java.</t>
  </si>
  <si>
    <t xml:space="preserve">H7.6</t>
  </si>
  <si>
    <t xml:space="preserve">NCHS World History Era 4, Standard 3, and Era 5, 1B; AP World History: Modern Unit 1</t>
  </si>
  <si>
    <t xml:space="preserve">By level: 7: 8 new. Southeast Asia is a gap in the existing sets. Angkor belongs to this row. Planned topic #103 on the Akelius topic list. Phase 1.</t>
  </si>
  <si>
    <t xml:space="preserve">T7-9-020</t>
  </si>
  <si>
    <t xml:space="preserve">Polynesian navigators</t>
  </si>
  <si>
    <t xml:space="preserve">Stars, swells and birds; Hawaii, Aotearoa, Rapa Nui.</t>
  </si>
  <si>
    <t xml:space="preserve">NCHS World History Era 4, Standard 5</t>
  </si>
  <si>
    <t xml:space="preserve">By level: 7: 5 new. Settled about 1000-1200 for Hawaii and Rapa Nui and about 1250-1300 for Aotearoa. Avoid the story that the islanders destroyed their own island; the great losses on Rapa Nui came after the slave raids of 1862. Phase 2.</t>
  </si>
  <si>
    <t xml:space="preserve">T7-9-021</t>
  </si>
  <si>
    <t xml:space="preserve">The Maya after the classic age</t>
  </si>
  <si>
    <t xml:space="preserve">Chichen Itza, Mayapan, Maya traders by canoe.</t>
  </si>
  <si>
    <t xml:space="preserve">H7.6, H9.7</t>
  </si>
  <si>
    <t xml:space="preserve">WHFUA Big Era 5, Landscape 5.6; NCHS World History Era 5, Standard 6</t>
  </si>
  <si>
    <t xml:space="preserve">By level: 7: 2 new; 9: 1 existing. Why the classic cities were left is on an existing Maya card. Phase 2.</t>
  </si>
  <si>
    <t xml:space="preserve">T7-9-022</t>
  </si>
  <si>
    <t xml:space="preserve">Cahokia and North America</t>
  </si>
  <si>
    <t xml:space="preserve">The mound city, Ancestral Puebloans.</t>
  </si>
  <si>
    <t xml:space="preserve">NCHS World History Era 5, 6A; AP World History: Modern Unit 1, Cahokia</t>
  </si>
  <si>
    <t xml:space="preserve">By level: 7: 3 new. Phase 2.</t>
  </si>
  <si>
    <t xml:space="preserve">T7-9-023</t>
  </si>
  <si>
    <t xml:space="preserve">The Aztecs and Tenochtitlan</t>
  </si>
  <si>
    <t xml:space="preserve">Schools for every boy, Nezahualcoyotl the poet king, the Aztec herbal of 1552.</t>
  </si>
  <si>
    <t xml:space="preserve">NCHS World History Era 5, Standard 6</t>
  </si>
  <si>
    <t xml:space="preserve">aztecs</t>
  </si>
  <si>
    <t xml:space="preserve">By level: 7: 3 new; 9: 1 existing. The market, floating gardens, tribute and the fall in 1521 are on existing cards. If conquest is mentioned: Tlaxcalan allies were most of the army, and the story that the Mexica took Cortes for Quetzalcoatl comes from later sources. No gore. Phase 2.</t>
  </si>
  <si>
    <t xml:space="preserve">T7-9-024</t>
  </si>
  <si>
    <t xml:space="preserve">7, 8, 9</t>
  </si>
  <si>
    <t xml:space="preserve">The Inca and the earlier Andes</t>
  </si>
  <si>
    <t xml:space="preserve">Tiwanaku, Wari, Chimu and Chan Chan, mit'a labour before and after the conquest.</t>
  </si>
  <si>
    <t xml:space="preserve">H7.6, H8.7, H9.7</t>
  </si>
  <si>
    <t xml:space="preserve">NCHS World History Era 5, 6B; BNCC EF06HI08</t>
  </si>
  <si>
    <t xml:space="preserve">inca</t>
  </si>
  <si>
    <t xml:space="preserve">By level: 7: 3 new; 8: 1 new; 9: 1 existing. The quipu and rope bridges are on existing cards. Phase 2.</t>
  </si>
  <si>
    <t xml:space="preserve">T7-9-025</t>
  </si>
  <si>
    <t xml:space="preserve">Fibonacci and the numbers that reached Europe</t>
  </si>
  <si>
    <t xml:space="preserve">Indian numerals by way of Baghdad and North Africa, Fibonacci's book of 1202.</t>
  </si>
  <si>
    <t xml:space="preserve">H7.8</t>
  </si>
  <si>
    <t xml:space="preserve">By level: 7: 3 new. Never write Leonardo, the first name of another set's answer. Planned topic #64 on the Akelius topic list. Phase 1.</t>
  </si>
  <si>
    <t xml:space="preserve">T7-9-026</t>
  </si>
  <si>
    <t xml:space="preserve">Zheng He</t>
  </si>
  <si>
    <t xml:space="preserve">One card on Zheng He at level 9.</t>
  </si>
  <si>
    <t xml:space="preserve">WHFUA Big Era 6, Landscape 6.1</t>
  </si>
  <si>
    <t xml:space="preserve">zheng-he</t>
  </si>
  <si>
    <t xml:space="preserve">By level: 9: 1 existing.</t>
  </si>
  <si>
    <t xml:space="preserve">T7-9-027</t>
  </si>
  <si>
    <t xml:space="preserve">8, 9</t>
  </si>
  <si>
    <t xml:space="preserve">The Renaissance</t>
  </si>
  <si>
    <t xml:space="preserve">Sofonisba Anguissola and Lavinia Fontana, Shakespeare, Durer and Erasmus.</t>
  </si>
  <si>
    <t xml:space="preserve">H8.6, H9.7</t>
  </si>
  <si>
    <t xml:space="preserve">NCHS World History Era 6, Standard 2; NCERT Themes in World History Class 11, Changing Cultural Traditions</t>
  </si>
  <si>
    <t xml:space="preserve">renaissance, leonardo-da-vinci</t>
  </si>
  <si>
    <t xml:space="preserve">By level: 8: 4 new; 9: 2 existing. City-states and humanism are on existing cards. Planned topic #121 on the Akelius topic list. Phase 1.</t>
  </si>
  <si>
    <t xml:space="preserve">T7-9-028</t>
  </si>
  <si>
    <t xml:space="preserve">Printing</t>
  </si>
  <si>
    <t xml:space="preserve">Print shops, the first newspapers, print in the Ottoman world from 1493 and 1727.</t>
  </si>
  <si>
    <t xml:space="preserve">NCHS World History Era 6, Standard 2; NCERT India and the Contemporary World II Class 10, Print Culture</t>
  </si>
  <si>
    <t xml:space="preserve">johannes-gutenberg</t>
  </si>
  <si>
    <t xml:space="preserve">By level: 8: 2 new; 9: 1 existing. No sultan's ban on printing is proven: Jewish printers worked in Istanbul from 1493 and Muteferrika's press began in 1727. No Arabic script in images. Phase 2.</t>
  </si>
  <si>
    <t xml:space="preserve">T7-9-029</t>
  </si>
  <si>
    <t xml:space="preserve">The age of ocean voyages</t>
  </si>
  <si>
    <t xml:space="preserve">Dias, da Gama and his pilot from Malindi, Cabral in Brazil, Elmina in 1482.</t>
  </si>
  <si>
    <t xml:space="preserve">H8.1, H9.7</t>
  </si>
  <si>
    <t xml:space="preserve">NCHS World History Era 6, Standard 1; WHFUA Big Era 6, Landscape 6.1; Tanzania History O-level 2023, Form II</t>
  </si>
  <si>
    <t xml:space="preserve">christopher-columbus, ferdinand-magellan</t>
  </si>
  <si>
    <t xml:space="preserve">By level: 8: 6 new; 9: 2 existing. Told from the coasts too. The pilot from Malindi was probably a Gujarati; do not name Ibn Majid. The Portuguese at Kilwa and Mombasa are on an existing Swahili-coast card. Elmina belongs to this row. Phase 2.</t>
  </si>
  <si>
    <t xml:space="preserve">T7-9-030</t>
  </si>
  <si>
    <t xml:space="preserve">8</t>
  </si>
  <si>
    <t xml:space="preserve">The Columbian Exchange</t>
  </si>
  <si>
    <t xml:space="preserve">Cassava to Africa, chilli peppers to Asia, horses on the American plains, smallpox, sugar, silver to China.</t>
  </si>
  <si>
    <t xml:space="preserve">H8.2</t>
  </si>
  <si>
    <t xml:space="preserve">WHFUA Big Era 6, Landscape 6.2; Bhutan History Framework 2022, Class X</t>
  </si>
  <si>
    <t xml:space="preserve">By level: 8: 7 new. A gap in the existing sets. Answers are crops, animals and diseases; the word Columbian never appears in clue text, since Columbus is another set's answer. Foods already on the Columbus cards are skipped. Phase 1.</t>
  </si>
  <si>
    <t xml:space="preserve">T7-9-031</t>
  </si>
  <si>
    <t xml:space="preserve">Spanish and Portuguese America</t>
  </si>
  <si>
    <t xml:space="preserve">Encomienda, Potosi, missions, castas, sugar, Palmares, Guaman Poma's letter to the king.</t>
  </si>
  <si>
    <t xml:space="preserve">H8.7</t>
  </si>
  <si>
    <t xml:space="preserve">NCHS World History Era 6, Standard 4; BNCC 7th year, viceroyalties; IB DP new guide, Americas regional study 2, reference only</t>
  </si>
  <si>
    <t xml:space="preserve">By level: 8: 7 new. Potosi and Palmares belong to this row. Phase 1.</t>
  </si>
  <si>
    <t xml:space="preserve">T7-9-032</t>
  </si>
  <si>
    <t xml:space="preserve">The transatlantic slave trade</t>
  </si>
  <si>
    <t xml:space="preserve">Ouidah, revolts at sea, Queen Nanny's maroon towns in Jamaica, the regions captives came from.</t>
  </si>
  <si>
    <t xml:space="preserve">H8.3, H9.7</t>
  </si>
  <si>
    <t xml:space="preserve">NCHS World History Era 6, Standard 4; WHFUA Big Era 6, Landscape 6.5; BNCC EF07HI16</t>
  </si>
  <si>
    <t xml:space="preserve">transatlantic-slave-trade</t>
  </si>
  <si>
    <t xml:space="preserve">By level: 8: 4 new; 9: 1 existing. Plantations and Equiano are on existing cards; Equiano is context only. No gore. Phase 2.</t>
  </si>
  <si>
    <t xml:space="preserve">T7-9-033</t>
  </si>
  <si>
    <t xml:space="preserve">East African and Indian Ocean slave trades</t>
  </si>
  <si>
    <t xml:space="preserve">Caravans to Bagamoyo, ivory and captives, the Saharan routes, the Zanzibar market closed in 1873.</t>
  </si>
  <si>
    <t xml:space="preserve">H8.3, H9.4</t>
  </si>
  <si>
    <t xml:space="preserve">NCHS World History Era 6, Standard 4; Tanzania History O-level 2023, Form II; Kenya KICD Junior School Grades 7 and 8</t>
  </si>
  <si>
    <t xml:space="preserve">By level: 8: 3 new; 9: 2 new. Local and sensitive. The meaning of the name Bagamoyo is debated. Cloves and Omani rule on Zanzibar are on an existing Swahili-coast card. Phase 1.</t>
  </si>
  <si>
    <t xml:space="preserve">T7-9-034</t>
  </si>
  <si>
    <t xml:space="preserve">Africa 1450-1800</t>
  </si>
  <si>
    <t xml:space="preserve">Queen Nzinga, the Kongo kings and their letters to Portugal, the fall of Songhai in 1591, Asante, Oyo, Dahomey, Ethiopia's Gondar.</t>
  </si>
  <si>
    <t xml:space="preserve">H8.8</t>
  </si>
  <si>
    <t xml:space="preserve">NCHS World History Era 6, Standard 4; Kenya KICD Junior School Grade 7, Kongo</t>
  </si>
  <si>
    <t xml:space="preserve">By level: 8: 10 new. Afonso I and Songhai are named on existing cards, so they are context, not answers. Planned topic #96 on the Akelius topic list. Phase 1.</t>
  </si>
  <si>
    <t xml:space="preserve">T7-9-035</t>
  </si>
  <si>
    <t xml:space="preserve">The Ottoman Empire</t>
  </si>
  <si>
    <t xml:space="preserve">Hurrem Sultan, Piri Reis's map, Ottoman Egypt and the Hajj caravans, the traveller Evliya Celebi.</t>
  </si>
  <si>
    <t xml:space="preserve">H8.5, H9.7</t>
  </si>
  <si>
    <t xml:space="preserve">NCHS World History Era 6, Standard 3; AP World History: Modern Unit 3</t>
  </si>
  <si>
    <t xml:space="preserve">ottoman-empire</t>
  </si>
  <si>
    <t xml:space="preserve">By level: 8: 3 new; 9: 1 new, 1 existing. Suleiman's laws, coffee houses, many faiths and the reforms are on existing cards. The map is never shown with writing. Phase 2.</t>
  </si>
  <si>
    <t xml:space="preserve">T7-9-036</t>
  </si>
  <si>
    <t xml:space="preserve">Safavid Persia and Isfahan</t>
  </si>
  <si>
    <t xml:space="preserve">Shah Abbas, Isfahan, silk, Shia Islam as the state faith.</t>
  </si>
  <si>
    <t xml:space="preserve">H8.5</t>
  </si>
  <si>
    <t xml:space="preserve">WHFUA Big Era 6, Landscape 6.3</t>
  </si>
  <si>
    <t xml:space="preserve">By level: 8: 4 new. No calligraphy. Phase 2.</t>
  </si>
  <si>
    <t xml:space="preserve">T7-9-037</t>
  </si>
  <si>
    <t xml:space="preserve">Akbar and the Mughal Empire</t>
  </si>
  <si>
    <t xml:space="preserve">Babur, Nur Jahan, Aurangzeb, Indian cotton.</t>
  </si>
  <si>
    <t xml:space="preserve">NCHS World History Era 6, Standard 3; England National Curriculum 2013, KS3, Mughal India</t>
  </si>
  <si>
    <t xml:space="preserve">akbar</t>
  </si>
  <si>
    <t xml:space="preserve">By level: 8: 5 new; 9: 1 existing. The Taj Mahal is on an existing Akbar card. Phase 2.</t>
  </si>
  <si>
    <t xml:space="preserve">T7-9-038</t>
  </si>
  <si>
    <t xml:space="preserve">Guru Nanak and the Sikh tradition</t>
  </si>
  <si>
    <t xml:space="preserve">One God and equality, the shared kitchen.</t>
  </si>
  <si>
    <t xml:space="preserve">WHFUA Big Era 6, Landscape 6.7; NCERT Understanding Society Grade 9 Part 2, Sikhs</t>
  </si>
  <si>
    <t xml:space="preserve">By level: 8: 3 new. A gap in the existing sets. Belief marked as belief. Phase 2.</t>
  </si>
  <si>
    <t xml:space="preserve">T7-9-039</t>
  </si>
  <si>
    <t xml:space="preserve">Ming and Qing China</t>
  </si>
  <si>
    <t xml:space="preserve">The Forbidden City, porcelain and tea, silver, Qing expansion.</t>
  </si>
  <si>
    <t xml:space="preserve">NCHS World History Era 6, Standard 3; England National Curriculum 2013, KS3, Qing China</t>
  </si>
  <si>
    <t xml:space="preserve">By level: 8: 5 new. Ming is named on zheng-he card 5, so answers are places, things or rulers, not the dynasty's name. Phase 2.</t>
  </si>
  <si>
    <t xml:space="preserve">T7-9-040</t>
  </si>
  <si>
    <t xml:space="preserve">Tokugawa Japan and Joseon Korea</t>
  </si>
  <si>
    <t xml:space="preserve">The long peace, Edo, the turtle ships of the Imjin war.</t>
  </si>
  <si>
    <t xml:space="preserve">NCHS World History Era 6, Standard 5</t>
  </si>
  <si>
    <t xml:space="preserve">By level: 8: 5 new. Phase 2.</t>
  </si>
  <si>
    <t xml:space="preserve">T7-9-041</t>
  </si>
  <si>
    <t xml:space="preserve">Bhutan unified under the Zhabdrung</t>
  </si>
  <si>
    <t xml:space="preserve">Pema Lingpa, the Zhabdrung's arrival in 1616 and unification over the next decades, dzongs, the dual system, never colonised.</t>
  </si>
  <si>
    <t xml:space="preserve">NCHS World History Era 6, Standard 5; Bhutan Social Studies 2025, Class V</t>
  </si>
  <si>
    <t xml:space="preserve">By level: 8: 6 new. Neutral tone. Planned topic #105 on the Akelius topic list. Phase 1.</t>
  </si>
  <si>
    <t xml:space="preserve">T7-9-042</t>
  </si>
  <si>
    <t xml:space="preserve">European trading empires in Asia</t>
  </si>
  <si>
    <t xml:space="preserve">Goa, Malacca, the Dutch in Java and Batavia in 1619, the Manila galleons, Plassey in 1757.</t>
  </si>
  <si>
    <t xml:space="preserve">AP World History: Modern Unit 4; NCERT Exploring Society Grade 8 Part I, chapter 4</t>
  </si>
  <si>
    <t xml:space="preserve">By level: 8: 7 new. A gap in the existing sets. Phase 2.</t>
  </si>
  <si>
    <t xml:space="preserve">T7-9-043</t>
  </si>
  <si>
    <t xml:space="preserve">The Reformation and the wars of religion</t>
  </si>
  <si>
    <t xml:space="preserve">Catholic reform, the Thirty Years War, the peace of 1648.</t>
  </si>
  <si>
    <t xml:space="preserve">NCHS World History Era 6, Standard 2; Tanzania History A-level 2023, Form VI, Westphalia</t>
  </si>
  <si>
    <t xml:space="preserve">protestant-reformation, martin-luther</t>
  </si>
  <si>
    <t xml:space="preserve">By level: 8: 3 new; 9: 2 existing. Do not say Westphalia created modern sovereignty; that claim is a debate for level U. Phase 2.</t>
  </si>
  <si>
    <t xml:space="preserve">T7-9-044</t>
  </si>
  <si>
    <t xml:space="preserve">Absolute and limited monarchy</t>
  </si>
  <si>
    <t xml:space="preserve">Louis XIV, Elizabeth I, Peter the Great, the Bill of Rights of 1689.</t>
  </si>
  <si>
    <t xml:space="preserve">H8.4</t>
  </si>
  <si>
    <t xml:space="preserve">NCHS World History Era 6, Standard 2</t>
  </si>
  <si>
    <t xml:space="preserve">By level: 8: 6 new. Daniel's own example outcome. Planned topics #120, #122 on the Akelius topic list. Phase 1.</t>
  </si>
  <si>
    <t xml:space="preserve">T7-9-045</t>
  </si>
  <si>
    <t xml:space="preserve">The Scientific Revolution</t>
  </si>
  <si>
    <t xml:space="preserve">Vesalius, Kepler, Harvey, Descartes, the observatories of Samarkand and Istanbul.</t>
  </si>
  <si>
    <t xml:space="preserve">WHFUA Big Era 6, Landscape 6.6</t>
  </si>
  <si>
    <t xml:space="preserve">nicolaus-copernicus, galileo-galilei, isaac-newton</t>
  </si>
  <si>
    <t xml:space="preserve">By level: 8: 5 new; 9: 3 existing. The observatories outside Europe belong to this row. Planned topic #75 on the Akelius topic list. Phase 1.</t>
  </si>
  <si>
    <t xml:space="preserve">T7-9-046</t>
  </si>
  <si>
    <t xml:space="preserve">Indigenous nations of North America</t>
  </si>
  <si>
    <t xml:space="preserve">The Haudenosaunee, the fur trade, the removals of the 1830s.</t>
  </si>
  <si>
    <t xml:space="preserve">H8.7, H9.3</t>
  </si>
  <si>
    <t xml:space="preserve">NCHS World History Era 6, Standard 4; NCERT Themes in World History Class 11, Displacing Indigenous Peoples</t>
  </si>
  <si>
    <t xml:space="preserve">By level: 8: 2 new; 9: 2 new. Avoid the claim that the Haudenosaunee inspired the US constitution. Phase 2.</t>
  </si>
  <si>
    <t xml:space="preserve">T7-9-047</t>
  </si>
  <si>
    <t xml:space="preserve">The Enlightenment</t>
  </si>
  <si>
    <t xml:space="preserve">Wollstonecraft, Adam Smith, Anton Wilhelm Amo from the Gold Coast, Emilie du Chatelet.</t>
  </si>
  <si>
    <t xml:space="preserve">H9.1, H9.6</t>
  </si>
  <si>
    <t xml:space="preserve">WHFUA Big Era 7, Landscape 7.2; Kenya KICD Senior School Grade 10, 3.1</t>
  </si>
  <si>
    <t xml:space="preserve">the-enlightenment</t>
  </si>
  <si>
    <t xml:space="preserve">By level: 9: 5 new, 1 existing. Wollstonecraft and Montesquieu are named on enlightenment cards 4 and 3. Wollstonecraft becomes an answer only if card 4 is rewritten in the same batch. Planned topics #77, #78 on the Akelius topic list. Phase 1.</t>
  </si>
  <si>
    <t xml:space="preserve">T7-9-048</t>
  </si>
  <si>
    <t xml:space="preserve">The American Revolution</t>
  </si>
  <si>
    <t xml:space="preserve">One card each on the American Revolution and George Washington at level 9.</t>
  </si>
  <si>
    <t xml:space="preserve">H9.1, H9.7</t>
  </si>
  <si>
    <t xml:space="preserve">NCHS World History Era 7, Standard 1</t>
  </si>
  <si>
    <t xml:space="preserve">american-revolution, george-washington</t>
  </si>
  <si>
    <t xml:space="preserve">By level: 9: 2 existing. The constitution and its first amendments are already on an existing card, so no new cards here.</t>
  </si>
  <si>
    <t xml:space="preserve">T7-9-049</t>
  </si>
  <si>
    <t xml:space="preserve">The French Revolution and Napoleon</t>
  </si>
  <si>
    <t xml:space="preserve">The women's march to Versailles, the revolutionary calendar.</t>
  </si>
  <si>
    <t xml:space="preserve">NCHS World History Era 7, Standard 1; BNCC EF08HI04; Kenya KICD Senior School Grade 11, 3.1</t>
  </si>
  <si>
    <t xml:space="preserve">french-revolution, napoleon-bonaparte</t>
  </si>
  <si>
    <t xml:space="preserve">By level: 9: 2 new, 2 existing. The Rights of Man and Olympe de Gouges are on an existing card. Phase 2.</t>
  </si>
  <si>
    <t xml:space="preserve">T7-9-050</t>
  </si>
  <si>
    <t xml:space="preserve">Haiti, Bolivar and Latin American independence</t>
  </si>
  <si>
    <t xml:space="preserve">Hidalgo's cry of 1810, Juana Azurduy, Brazil's independence in 1822.</t>
  </si>
  <si>
    <t xml:space="preserve">NCHS World History Era 7, Standard 1; WHFUA Big Era 7, Landscape 7.2; BNCC EF08HI10</t>
  </si>
  <si>
    <t xml:space="preserve">haitian-revolution, simon-bolivar</t>
  </si>
  <si>
    <t xml:space="preserve">By level: 9: 3 new, 2 existing. San Martin is named on Bolivar cards, so he is context only. Phase 1.</t>
  </si>
  <si>
    <t xml:space="preserve">T7-9-051</t>
  </si>
  <si>
    <t xml:space="preserve">Latin America after independence</t>
  </si>
  <si>
    <t xml:space="preserve">Strongmen, the Paraguayan War, Benito Juarez, Brazil's abolition in 1888.</t>
  </si>
  <si>
    <t xml:space="preserve">H9.4, H9.5</t>
  </si>
  <si>
    <t xml:space="preserve">NCHS World History Era 7, Standard 4; BNCC 8th year, Brazil in the 19th century</t>
  </si>
  <si>
    <t xml:space="preserve">By level: 9: 4 new. Brazil's abolition belongs to this row. An existing slave-trade card already names 1888, so the new card takes another facet, such as the enslaved people who fled the plantations before it. Phase 1.</t>
  </si>
  <si>
    <t xml:space="preserve">T7-9-052</t>
  </si>
  <si>
    <t xml:space="preserve">The Industrial Revolution</t>
  </si>
  <si>
    <t xml:space="preserve">Steamships, telegraph cables, the Lowell mill girls, Belgium and the Ruhr.</t>
  </si>
  <si>
    <t xml:space="preserve">H9.2, H9.7</t>
  </si>
  <si>
    <t xml:space="preserve">WHFUA Big Era 7, Landscape 7.1; NCHS World History Era 7, Standard 2</t>
  </si>
  <si>
    <t xml:space="preserve">industrial-revolution</t>
  </si>
  <si>
    <t xml:space="preserve">By level: 9: 5 new, 1 existing. Railways, child labour and factory laws are on existing cards. Also North America. Phase 2.</t>
  </si>
  <si>
    <t xml:space="preserve">T7-9-053</t>
  </si>
  <si>
    <t xml:space="preserve">Electricity, photography and flight</t>
  </si>
  <si>
    <t xml:space="preserve">Faraday, Edison, Tesla, Daguerre's photographs, the telephone, the first powered flight in 1903, electric light reaching villages.</t>
  </si>
  <si>
    <t xml:space="preserve">H9.2, H9.6</t>
  </si>
  <si>
    <t xml:space="preserve">NCHS World History Era 7, 5A; WHFUA Big Era 7, Landscape 7.1</t>
  </si>
  <si>
    <t xml:space="preserve">By level: 9: 9 new. Also North America. Tagged Europe, not Global, since the people are European and American. Planned topics #129, #131, #132 on the Akelius topic list. Phase 1.</t>
  </si>
  <si>
    <t xml:space="preserve">T7-9-054</t>
  </si>
  <si>
    <t xml:space="preserve">Science from 1790 to 1900</t>
  </si>
  <si>
    <t xml:space="preserve">Jenner's vaccine of 1796, Mendel, Mendeleev, Gauss, Ada Lovelace, Sofia Kovalevskaya, Jagadish Chandra Bose's radio waves in Calcutta.</t>
  </si>
  <si>
    <t xml:space="preserve">H9.6, H9.7</t>
  </si>
  <si>
    <t xml:space="preserve">NCHS World History Era 7, 5A; Bhutan History Framework 2022, Class XI</t>
  </si>
  <si>
    <t xml:space="preserve">charles-darwin, louis-pasteur, florence-nightingale</t>
  </si>
  <si>
    <t xml:space="preserve">By level: 9: 12 new, 3 existing. Lovelace published the first program for Babbage's engine in 1843. Mary Seacole, a healer and businesswoman, is named on florence-nightingale card 5, so she is context only unless that card is rewritten. Tagged Europe, since six of the seven people are European; also Asia: Bose. Planned topics #55, #56, #65, #69, #130 on the Akelius topic list. Phase 1.</t>
  </si>
  <si>
    <t xml:space="preserve">T7-9-055</t>
  </si>
  <si>
    <t xml:space="preserve">Marx and the workers' movements</t>
  </si>
  <si>
    <t xml:space="preserve">The Rochdale cooperative of 1844, the eight-hour day and May Day, Flora Tristan.</t>
  </si>
  <si>
    <t xml:space="preserve">WHFUA Big Era 7, Landscape 7.3; NCHS World History Era 7, 4B</t>
  </si>
  <si>
    <t xml:space="preserve">karl-marx</t>
  </si>
  <si>
    <t xml:space="preserve">By level: 9: 3 new, 1 existing. Phase 2.</t>
  </si>
  <si>
    <t xml:space="preserve">T7-9-056</t>
  </si>
  <si>
    <t xml:space="preserve">Abolition of slavery and serfdom</t>
  </si>
  <si>
    <t xml:space="preserve">Revolts such as Jamaica in 1831, Douglass, Tubman, the British campaigns, Russia's serfs freed in 1861, abolition in Zanzibar in 1897 and Tanganyika in 1922, Ethiopia in 1942.</t>
  </si>
  <si>
    <t xml:space="preserve">H9.4</t>
  </si>
  <si>
    <t xml:space="preserve">WHFUA key theme Haves and Have-Nots; Kenya KICD Senior School Grade 10, abolitionists; England National Curriculum 2013, KS3, abolition</t>
  </si>
  <si>
    <t xml:space="preserve">By level: 9: 7 new. Enslaved people's own resistance comes first. Equiano is named on slave-trade card 3, so he is context only. Phase 2.</t>
  </si>
  <si>
    <t xml:space="preserve">T7-9-057</t>
  </si>
  <si>
    <t xml:space="preserve">Nationalism in the 1800s: a first look</t>
  </si>
  <si>
    <t xml:space="preserve">Flags and anthems, Greek independence in 1830, the idea spreads.</t>
  </si>
  <si>
    <t xml:space="preserve">H9.5</t>
  </si>
  <si>
    <t xml:space="preserve">NCHS World History Era 7, Standard 4; WHFUA Big Era 7, Landscape 7.6</t>
  </si>
  <si>
    <t xml:space="preserve">By level: 9: 3 new. Answers are events or people such as Greek independence; never write nation or national in clue text. Depth follows at level 10. Phase 2.</t>
  </si>
  <si>
    <t xml:space="preserve">T7-9-058</t>
  </si>
  <si>
    <t xml:space="preserve">India in 1857 and the British Raj</t>
  </si>
  <si>
    <t xml:space="preserve">The rising of 1857, crown rule, railways and famine, the Congress of 1885.</t>
  </si>
  <si>
    <t xml:space="preserve">H9.3, H9.5</t>
  </si>
  <si>
    <t xml:space="preserve">Cambridge IGCSE 0470 Option A, key question 5, the events of 1857; NCERT Themes in Indian History Class 12, 1857; England National Curriculum 2013, KS3</t>
  </si>
  <si>
    <t xml:space="preserve">By level: 9: 5 new. Phase 2.</t>
  </si>
  <si>
    <t xml:space="preserve">T7-9-059</t>
  </si>
  <si>
    <t xml:space="preserve">The Opium Wars and the Taiping rebellion</t>
  </si>
  <si>
    <t xml:space="preserve">Tea, silver, opium, Hong Kong, the unequal treaties.</t>
  </si>
  <si>
    <t xml:space="preserve">H9.3</t>
  </si>
  <si>
    <t xml:space="preserve">NCHS World History Era 7, Standard 3; IB DP new guide, Asia and Oceania regional study 3, reference only</t>
  </si>
  <si>
    <t xml:space="preserve">By level: 9: 5 new. Planned topic #106 on the Akelius topic list. Phase 1.</t>
  </si>
  <si>
    <t xml:space="preserve">T7-9-060</t>
  </si>
  <si>
    <t xml:space="preserve">The Meiji Restoration</t>
  </si>
  <si>
    <t xml:space="preserve">Fukuzawa Yukichi, the women workers of the Tomioka silk mill.</t>
  </si>
  <si>
    <t xml:space="preserve">Cambridge 9489 AS key question 7.3; NCERT Themes in World History Class 11, Paths to Modernisation</t>
  </si>
  <si>
    <t xml:space="preserve">meiji-restoration</t>
  </si>
  <si>
    <t xml:space="preserve">By level: 9: 2 new, 1 existing. Railways, schools and factories are on existing cards. Phase 2.</t>
  </si>
  <si>
    <t xml:space="preserve">T7-9-061</t>
  </si>
  <si>
    <t xml:space="preserve">African states in the 1800s</t>
  </si>
  <si>
    <t xml:space="preserve">The Zulu kingdom, the Sokoto caliphate, Mirambo of the Nyamwezi, Buganda, Tewodros of Ethiopia.</t>
  </si>
  <si>
    <t xml:space="preserve">NCHS World History Era 7, Standard 5; WHFUA Big Era 7, Landscape 7.5; Kenya KICD Senior School Grade 11, Zulu; IB DP current guide, Africa and the Middle East section 6, reference only</t>
  </si>
  <si>
    <t xml:space="preserve">By level: 9: 9 new. Local for Tanzania. Omani Zanzibar is on an existing Swahili-coast card, and Menelik and Samori are named on scramble card 3, so they are context only. Phase 2.</t>
  </si>
  <si>
    <t xml:space="preserve">T7-9-062</t>
  </si>
  <si>
    <t xml:space="preserve">The Scramble for Africa and resistance</t>
  </si>
  <si>
    <t xml:space="preserve">Isandlwana in 1879, Abushiri in 1888, Mkwawa and the Hehe in 1891-98, Bai Bureh in 1898, Yaa Asantewaa in 1900, Kinjikitile and the Maji Maji war of 1905.</t>
  </si>
  <si>
    <t xml:space="preserve">H9.3, H9.7</t>
  </si>
  <si>
    <t xml:space="preserve">Cambridge IGCSE 0470 Option A, key question 5; Cambridge 9489 AS key question 7.1; Tanzania HTM Form II 2023</t>
  </si>
  <si>
    <t xml:space="preserve">scramble-for-africa</t>
  </si>
  <si>
    <t xml:space="preserve">By level: 9: 7 new, 1 existing. No gore. The maji medicine is marked as belief. Mkwawa's skull, returned in 1954, can carry a how-we-know card. Samori, Adwa and Menelik are named on scramble card 3. Phase 1.</t>
  </si>
  <si>
    <t xml:space="preserve">T7-9-063</t>
  </si>
  <si>
    <t xml:space="preserve">Migration and indentured labour</t>
  </si>
  <si>
    <t xml:space="preserve">Indian workers to the Uganda Railway, Natal, Mauritius, the Caribbean and Fiji; Chinese workers to Cuba, Peru, Malaya and the Transvaal mines; about 50 million Europeans to the Americas.</t>
  </si>
  <si>
    <t xml:space="preserve">H9.8</t>
  </si>
  <si>
    <t xml:space="preserve">WHFUA Big Era 7, Landscape 7.4; NCERT India and the Contemporary World II Class 10, indentured labour</t>
  </si>
  <si>
    <t xml:space="preserve">By level: 9: 6 new. A gap in the existing sets. About 32,000 Indian workers came to build the Uganda Railway from 1896 to 1901. Phase 1.</t>
  </si>
  <si>
    <t xml:space="preserve">T7-9-064</t>
  </si>
  <si>
    <t xml:space="preserve">Settler colonies and Indigenous peoples</t>
  </si>
  <si>
    <t xml:space="preserve">Aboriginal Australia, Waitangi in 1840, the American West.</t>
  </si>
  <si>
    <t xml:space="preserve">WHFUA Big Era 7, Landscape 7.5; NCERT Themes in World History Class 11, Displacing Indigenous Peoples</t>
  </si>
  <si>
    <t xml:space="preserve">By level: 9: 5 new. Oceania, also North America. Phase 2.</t>
  </si>
  <si>
    <t xml:space="preserve">T7-9-065</t>
  </si>
  <si>
    <t xml:space="preserve">Music and pictures in the age of revolutions</t>
  </si>
  <si>
    <t xml:space="preserve">Beethoven, Hokusai.</t>
  </si>
  <si>
    <t xml:space="preserve">H9.6</t>
  </si>
  <si>
    <t xml:space="preserve">WHFUA key theme Expressing Identity; NCHS World History Era 7, 4C</t>
  </si>
  <si>
    <t xml:space="preserve">By level: 9: 3 new. The arts are a gap in the existing sets. The image shows a workshop or landscape, never the artwork; the Great Wave carries a text cartouche. Also Asia. Planned topic #133 on the Akelius topic list. Phase 1.</t>
  </si>
  <si>
    <t xml:space="preserve">T7-9-066</t>
  </si>
  <si>
    <t xml:space="preserve">Revisit: the first civilisations</t>
  </si>
  <si>
    <t xml:space="preserve">One card each at level 9 on Egypt, Mesopotamia, Hammurabi and the Phoenicians.</t>
  </si>
  <si>
    <t xml:space="preserve">NCHS World History Era 2, Standard 1</t>
  </si>
  <si>
    <t xml:space="preserve">ancient-egypt-pyramids, mesopotamia, hammurabi, phoenicians-alphabet</t>
  </si>
  <si>
    <t xml:space="preserve">By level: 9: 4 existing. Egypt is counted as Africa.</t>
  </si>
  <si>
    <t xml:space="preserve">T7-9-067</t>
  </si>
  <si>
    <t xml:space="preserve">Revisit: Greece and Rome</t>
  </si>
  <si>
    <t xml:space="preserve">One card each at level 9 on Greece, the Olympic Games, Socrates, Plato, Aristotle, Alexander, Archimedes, Rome, Caesar and Augustus.</t>
  </si>
  <si>
    <t xml:space="preserve">NCHS World History Era 3, Standards 2 and 3</t>
  </si>
  <si>
    <t xml:space="preserve">ancient-greece, olympic-games, socrates, plato, aristotle, alexander-the-great, archimedes, roman-republic-empire, julius-caesar, augustus</t>
  </si>
  <si>
    <t xml:space="preserve">By level: 9: 10 existing.</t>
  </si>
  <si>
    <t xml:space="preserve">T7-9-068</t>
  </si>
  <si>
    <t xml:space="preserve">Revisit: classical Asia and early faiths</t>
  </si>
  <si>
    <t xml:space="preserve">One card each at level 9 on Confucius, the Buddha, Ashoka, the first emperor of China and Jesus.</t>
  </si>
  <si>
    <t xml:space="preserve">NCHS World History Era 3, Standard 3</t>
  </si>
  <si>
    <t xml:space="preserve">confucius, siddhartha-gautama, ashoka, qin-shi-huangdi, jesus-of-nazareth</t>
  </si>
  <si>
    <t xml:space="preserve">By level: 9: 5 existing. Jesus is counted as Middle East.</t>
  </si>
  <si>
    <t xml:space="preserve">T7-9-069</t>
  </si>
  <si>
    <t xml:space="preserve">First look: 1900-1945</t>
  </si>
  <si>
    <t xml:space="preserve">One card each at level 9 on the two world wars, Hitler, Churchill, Gandhi, Einstein, Curie and Turing.</t>
  </si>
  <si>
    <t xml:space="preserve">NCHS World History Era 8</t>
  </si>
  <si>
    <t xml:space="preserve">world-war-i, adolf-hitler, world-war-ii, winston-churchill, mahatma-gandhi, albert-einstein, marie-curie, alan-turing</t>
  </si>
  <si>
    <t xml:space="preserve">By level: 9: 8 existing.</t>
  </si>
  <si>
    <t xml:space="preserve">T7-9-070</t>
  </si>
  <si>
    <t xml:space="preserve">First look: since 1945</t>
  </si>
  <si>
    <t xml:space="preserve">One card each at level 9 on the United Nations, the Cold War, the Berlin Wall, the Moon landing, King, Mandela, African independence and Borlaug.</t>
  </si>
  <si>
    <t xml:space="preserve">NCHS World History Era 9</t>
  </si>
  <si>
    <t xml:space="preserve">united-nations, cold-war, fall-of-the-berlin-wall, first-moon-landing, martin-luther-king, nelson-mandela, african-independence, norman-borlaug</t>
  </si>
  <si>
    <t xml:space="preserve">T7-9-071</t>
  </si>
  <si>
    <t xml:space="preserve">How we know about the medieval and early modern world</t>
  </si>
  <si>
    <t xml:space="preserve">Coins and trade goods, a shipwreck's cargo, tree rings and ice cores, travellers' accounts and their limits, church and court records.</t>
  </si>
  <si>
    <t xml:space="preserve">H7.7, H9.7</t>
  </si>
  <si>
    <t xml:space="preserve">NCHS Historical Thinking Standards 2 and 4; Cambridge Lower Secondary Humanities 0839, Past strand, how we construct the past</t>
  </si>
  <si>
    <t xml:space="preserve">By level: 7: 4 new; 9: 2 new. Added so that levels 7-9 have evidence cards. Griots belong to T7-9-012. Phase 2.</t>
  </si>
  <si>
    <t xml:space="preserve">T7-9-072</t>
  </si>
  <si>
    <t xml:space="preserve">Climate shocks before 1900: the Little Ice Age and Tambora</t>
  </si>
  <si>
    <t xml:space="preserve">Cold centuries and failed harvests, the eruption of Tambora in 1815, the year without a summer.</t>
  </si>
  <si>
    <t xml:space="preserve">WHFUA key theme Science, Technology, and the Environment; AP World History: Modern theme Humans and the Environment</t>
  </si>
  <si>
    <t xml:space="preserve">By level: 9: 3 new. Added because the environment before 1900 had no row. Phase 2.</t>
  </si>
  <si>
    <t xml:space="preserve">T10-U-001</t>
  </si>
  <si>
    <t xml:space="preserve">12, U</t>
  </si>
  <si>
    <t xml:space="preserve">First civilisations: sources and debates</t>
  </si>
  <si>
    <t xml:space="preserve">The unread Indus script, Kush's pharaohs in Egyptian records, oracle bones as the oldest Chinese writing, how Caral was dated.</t>
  </si>
  <si>
    <t xml:space="preserve">H12.1, H12.7, HU.2</t>
  </si>
  <si>
    <t xml:space="preserve">NCHS World History Era 2, Standards 1 and 4; NCHS Historical Thinking Standard 4</t>
  </si>
  <si>
    <t xml:space="preserve">By level: 12: 2 new, 8 existing; U: 2 new, 4 existing. Relabelled Global, since the new cards are on South Asia, Africa, East Asia and Peru. Phase 2.</t>
  </si>
  <si>
    <t xml:space="preserve">T10-U-002</t>
  </si>
  <si>
    <t xml:space="preserve">Classical Greece: ideas and legacy</t>
  </si>
  <si>
    <t xml:space="preserve">Persia in Greek and Persian sources, Herodotus as a source.</t>
  </si>
  <si>
    <t xml:space="preserve">H12.4, HU.2, HU.3</t>
  </si>
  <si>
    <t xml:space="preserve">WHFUA Big Era 4, Landscape 4.4; Bhutan History Framework 2022, Classes IX and XII</t>
  </si>
  <si>
    <t xml:space="preserve">ancient-greece, olympic-games, socrates, plato, aristotle, alexander-the-great, archimedes</t>
  </si>
  <si>
    <t xml:space="preserve">By level: 12: 1 new, 14 existing; U: 1 new, 7 existing. Greek texts saved in Arabic are on existing cards. Phase 2.</t>
  </si>
  <si>
    <t xml:space="preserve">T10-U-003</t>
  </si>
  <si>
    <t xml:space="preserve">Rome: fall or transformation</t>
  </si>
  <si>
    <t xml:space="preserve">The existing level-12 and university cards on how the republic died, what lasted and whether Rome fell or changed.</t>
  </si>
  <si>
    <t xml:space="preserve">H12.2, HU.1</t>
  </si>
  <si>
    <t xml:space="preserve">WHFUA Big Era 5, Landscape 5.1; NCERT Themes in World History Class 11, An Empire Across Three Continents</t>
  </si>
  <si>
    <t xml:space="preserve">By level: 12: 6 existing; U: 3 existing. The existing university card already asks this question, and Roman Africa is in T4-6-028, so no new cards here.</t>
  </si>
  <si>
    <t xml:space="preserve">T10-U-004</t>
  </si>
  <si>
    <t xml:space="preserve">Religions and philosophies as history</t>
  </si>
  <si>
    <t xml:space="preserve">How sacred texts were written and collected; rulers and faith.</t>
  </si>
  <si>
    <t xml:space="preserve">H12.3, HU.8</t>
  </si>
  <si>
    <t xml:space="preserve">WHFUA key theme Spiritual Life and Moral Codes; Tanzania History A-level 2023, Form V, religion and the state</t>
  </si>
  <si>
    <t xml:space="preserve">confucius, siddhartha-gautama, jesus-of-nazareth</t>
  </si>
  <si>
    <t xml:space="preserve">By level: 12: 2 new, 6 existing; U: 2 new, 3 existing. Belief marked as belief. Phase 2.</t>
  </si>
  <si>
    <t xml:space="preserve">T10-U-005</t>
  </si>
  <si>
    <t xml:space="preserve">Classical Asia compared</t>
  </si>
  <si>
    <t xml:space="preserve">Han China and Rome compared, the Kushan empire between them.</t>
  </si>
  <si>
    <t xml:space="preserve">H12.2, HU.2</t>
  </si>
  <si>
    <t xml:space="preserve">qin-shi-huangdi, ashoka</t>
  </si>
  <si>
    <t xml:space="preserve">By level: 12: 2 new, 4 existing; U: 1 new, 2 existing. Ashoka's edicts and legends are on existing cards. Phase 2.</t>
  </si>
  <si>
    <t xml:space="preserve">T10-U-006</t>
  </si>
  <si>
    <t xml:space="preserve">The Islamic world and Byzantium</t>
  </si>
  <si>
    <t xml:space="preserve">Abbasid, Sasanian and Byzantine rule compared, Muslims and Jews in medieval Europe, Fatimid Cairo.</t>
  </si>
  <si>
    <t xml:space="preserve">H12.2, HU.7, HU.1</t>
  </si>
  <si>
    <t xml:space="preserve">NCHS World History Era 4, 2B; IB DP current guide, Europe section, Muslims and Jews in medieval Europe, reference only</t>
  </si>
  <si>
    <t xml:space="preserve">muhammad, byzantine-empire, crusades, al-khwarizmi, ibn-sina, house-of-wisdom</t>
  </si>
  <si>
    <t xml:space="preserve">By level: 12: 3 new, 12 existing; U: 2 new, 6 existing. Science passing to Latin Europe is on existing cards. No calligraphy. Phase 2.</t>
  </si>
  <si>
    <t xml:space="preserve">T10-U-007</t>
  </si>
  <si>
    <t xml:space="preserve">Africa before 1600: states and sources</t>
  </si>
  <si>
    <t xml:space="preserve">Griots as oral sources, the Benin bronzes and their return, Igbo-Ukwu, language evidence for the Bantu story.</t>
  </si>
  <si>
    <t xml:space="preserve">H12.7, HU.2, HU.5</t>
  </si>
  <si>
    <t xml:space="preserve">NCHS World History Era 5, Standard 4; IB DP new guide, Africa and the Middle East regional study 2, reference only</t>
  </si>
  <si>
    <t xml:space="preserve">ibn-battuta, mansa-musa, swahili-coast</t>
  </si>
  <si>
    <t xml:space="preserve">By level: 12: 3 new, 6 existing; U: 3 new, 3 existing. Kilwa coins and Ibn Battuta's account are on existing cards. Who built Great Zimbabwe belongs to T7-9-014. Phase 2.</t>
  </si>
  <si>
    <t xml:space="preserve">T10-U-008</t>
  </si>
  <si>
    <t xml:space="preserve">Asia 1200-1450: debates</t>
  </si>
  <si>
    <t xml:space="preserve">Why Song China did not industrialise, what laser scans showed at Angkor.</t>
  </si>
  <si>
    <t xml:space="preserve">H12.2, HU.4</t>
  </si>
  <si>
    <t xml:space="preserve">AP World History: Modern Units 1 and 2</t>
  </si>
  <si>
    <t xml:space="preserve">genghis-khan, silk-road</t>
  </si>
  <si>
    <t xml:space="preserve">By level: 12: 1 new, 4 existing; U: 1 new, 2 existing. Song, Delhi, Majapahit and the Khmer are taught in T7-9-007, T7-9-018 and T7-9-019; this row adds only debate cards. Phase 2.</t>
  </si>
  <si>
    <t xml:space="preserve">T10-U-009</t>
  </si>
  <si>
    <t xml:space="preserve">Medieval Europe: interpretations</t>
  </si>
  <si>
    <t xml:space="preserve">The Domesday Book, the myth that medieval people thought the Earth was flat, was there a feudal system?</t>
  </si>
  <si>
    <t xml:space="preserve">H12.3, HU.2, HU.3</t>
  </si>
  <si>
    <t xml:space="preserve">NCHS World History Era 5, Standards 2 and 5</t>
  </si>
  <si>
    <t xml:space="preserve">vikings, black-death, joan-of-arc</t>
  </si>
  <si>
    <t xml:space="preserve">By level: 12: 1 new, 6 existing; U: 2 new, 3 existing. Wages after the plague and the trial records are on existing cards. Phase 2.</t>
  </si>
  <si>
    <t xml:space="preserve">T10-U-010</t>
  </si>
  <si>
    <t xml:space="preserve">The Americas before and during conquest</t>
  </si>
  <si>
    <t xml:space="preserve">The debate on how many people lived in the Americas in 1491, laser scans that found Maya and Amazon towns.</t>
  </si>
  <si>
    <t xml:space="preserve">H12.1, HU.2, HU.1</t>
  </si>
  <si>
    <t xml:space="preserve">NCHS World History Era 5, Standard 6; IB DP new guide, Americas regional study 1, reference only</t>
  </si>
  <si>
    <t xml:space="preserve">maya, aztecs, inca</t>
  </si>
  <si>
    <t xml:space="preserve">By level: 12: 2 new, 6 existing; U: 2 new, 3 existing. The Maya collapse, the population loss after 1492 and Indigenous sources are on existing cards. Phase 2.</t>
  </si>
  <si>
    <t xml:space="preserve">T10-U-011</t>
  </si>
  <si>
    <t xml:space="preserve">Renaissance, Reformation, science: break or slow change</t>
  </si>
  <si>
    <t xml:space="preserve">Who could read in 1500 and in 1800, Jesuit scholars at the Chinese court.</t>
  </si>
  <si>
    <t xml:space="preserve">H12.3, HU.7, HU.1</t>
  </si>
  <si>
    <t xml:space="preserve">WHFUA Big Era 6, Landscape 6.6; NCERT Themes in World History Class 11, Changing Cultural Traditions</t>
  </si>
  <si>
    <t xml:space="preserve">renaissance, leonardo-da-vinci, johannes-gutenberg, protestant-reformation, martin-luther, nicolaus-copernicus, galileo-galilei, isaac-newton</t>
  </si>
  <si>
    <t xml:space="preserve">By level: 12: 2 new, 16 existing; U: 1 new, 8 existing. Asian print is on an existing Gutenberg card. Observatories outside Europe belong to T7-9-045. Phase 2.</t>
  </si>
  <si>
    <t xml:space="preserve">T10-U-012</t>
  </si>
  <si>
    <t xml:space="preserve">Global convergence 1450-1750</t>
  </si>
  <si>
    <t xml:space="preserve">The East India companies compared, the crisis of the 1600s.</t>
  </si>
  <si>
    <t xml:space="preserve">AP World History: Modern Units 3 and 4; WHFUA Big Era 6, Landscape 6.4</t>
  </si>
  <si>
    <t xml:space="preserve">christopher-columbus, ferdinand-magellan, zheng-he, akbar</t>
  </si>
  <si>
    <t xml:space="preserve">By level: 12: 2 new, 8 existing; U: 2 new, 4 existing. Why the Ming fleets stopped is on an existing card, and silver to China belongs to T7-9-030. Phase 2.</t>
  </si>
  <si>
    <t xml:space="preserve">T10-U-013</t>
  </si>
  <si>
    <t xml:space="preserve">Enlightenment and Atlantic revolutions</t>
  </si>
  <si>
    <t xml:space="preserve">The Terror, Tupac Amaru II's rising of 1780.</t>
  </si>
  <si>
    <t xml:space="preserve">H12.5, H12.8, HU.1</t>
  </si>
  <si>
    <t xml:space="preserve">Cambridge 9489 AS key question 1.1; AP World History: Modern Unit 5</t>
  </si>
  <si>
    <t xml:space="preserve">the-enlightenment, american-revolution, george-washington, french-revolution, napoleon-bonaparte, haitian-revolution, simon-bolivar</t>
  </si>
  <si>
    <t xml:space="preserve">By level: 12: 2 new, 14 existing; U: 1 new, 7 existing. The causes of 1789 and who gained rights are on existing cards. Phase 2.</t>
  </si>
  <si>
    <t xml:space="preserve">T10-U-014</t>
  </si>
  <si>
    <t xml:space="preserve">Industrial revolutions compared</t>
  </si>
  <si>
    <t xml:space="preserve">Britain, Germany, the USA and Japan; industry in Africa after 1960.</t>
  </si>
  <si>
    <t xml:space="preserve">AP World History: Modern Unit 5; Tanzania History A-level 2023, Form V</t>
  </si>
  <si>
    <t xml:space="preserve">By level: 12: 3 new, 2 existing; U: 1 new, 1 existing. Phase 2.</t>
  </si>
  <si>
    <t xml:space="preserve">T10-U-015</t>
  </si>
  <si>
    <t xml:space="preserve">Ideas and science of the 1800s</t>
  </si>
  <si>
    <t xml:space="preserve">How Darwin's, Pasteur's, Nightingale's and Marx's ideas were used and misused.</t>
  </si>
  <si>
    <t xml:space="preserve">H12.4, HU.7, HU.3</t>
  </si>
  <si>
    <t xml:space="preserve">charles-darwin, louis-pasteur, florence-nightingale, karl-marx</t>
  </si>
  <si>
    <t xml:space="preserve">By level: 12: 8 existing; U: 4 existing.</t>
  </si>
  <si>
    <t xml:space="preserve">T10-U-016</t>
  </si>
  <si>
    <t xml:space="preserve">Slave trade, abolition and diaspora</t>
  </si>
  <si>
    <t xml:space="preserve">The existing level-12 and university cards on resistance, ending the trade and what the records tell historians.</t>
  </si>
  <si>
    <t xml:space="preserve">H12.3, HU.5</t>
  </si>
  <si>
    <t xml:space="preserve">NCHS World History Era 6, Standard 4; Tanzania History A-level 2023, Form V</t>
  </si>
  <si>
    <t xml:space="preserve">By level: 12: 2 existing; U: 1 existing. The diaspora is on an existing card and Pan-Africanism belongs to T10-U-048, so no new cards here.</t>
  </si>
  <si>
    <t xml:space="preserve">T10-U-017</t>
  </si>
  <si>
    <t xml:space="preserve">10, 12, U</t>
  </si>
  <si>
    <t xml:space="preserve">The Ottoman end and the new Middle East</t>
  </si>
  <si>
    <t xml:space="preserve">The Arab Revolt, the Sykes-Picot deal of 1916, the Balfour Declaration of 1917, Zionism from Herzl in 1897 and Arab nationalism.</t>
  </si>
  <si>
    <t xml:space="preserve">H10.4, H10.5, H12.4, HU.1</t>
  </si>
  <si>
    <t xml:space="preserve">Cambridge IGCSE 0470 depth study A, key question 2; BNCC 9th year, the question of Palestine; IB DP new guide, Africa and the Middle East regional study 4, reference only</t>
  </si>
  <si>
    <t xml:space="preserve">By level: 10: 3 new; 12: 1 new, 2 existing; U: 1 existing. The Armenian genocide and Ataturk are on ottoman card 4; Ataturk is never an answer. Balfour and Zionism give both peoples' views. The mandates belong to T10-U-035. Phase 2.</t>
  </si>
  <si>
    <t xml:space="preserve">T10-U-018</t>
  </si>
  <si>
    <t xml:space="preserve">Japan and Russia, 1868-1914</t>
  </si>
  <si>
    <t xml:space="preserve">The alliance of 1902, the Russo-Japanese war of 1904-05, Japanese rule in Korea, the last tsars.</t>
  </si>
  <si>
    <t xml:space="preserve">H10.4, H12.6, H12.5, HU.1</t>
  </si>
  <si>
    <t xml:space="preserve">Cambridge IGCSE 0470 Option A, key question 6; Cambridge 9489 AS key question 7.3; Cambridge 9489 AS European option, Russia 1881-1924</t>
  </si>
  <si>
    <t xml:space="preserve">By level: 10: 2 new; 12: 2 new, 2 existing; U: 1 new, 1 existing. Also Europe: Russia. Phase 2.</t>
  </si>
  <si>
    <t xml:space="preserve">T10-U-019</t>
  </si>
  <si>
    <t xml:space="preserve">Scramble and resistance in depth</t>
  </si>
  <si>
    <t xml:space="preserve">Nehanda and the Ndebele and Shona risings of 1896-97, the Herero and Nama genocide and how we know, why the Maji Maji war spread so far.</t>
  </si>
  <si>
    <t xml:space="preserve">H12.6, HU.1</t>
  </si>
  <si>
    <t xml:space="preserve">Cambridge 9489 AS key question 7.1; Tanzania HTM Form II 2023, resistance to colonial invasion</t>
  </si>
  <si>
    <t xml:space="preserve">By level: 12: 3 new, 2 existing; U: 1 new, 1 existing. Nehanda's role as a spirit medium and the maji medicine are marked as belief. No gore. Isandlwana and Yaa Asantewaa belong to T7-9-062. Phase 2.</t>
  </si>
  <si>
    <t xml:space="preserve">T10-U-020</t>
  </si>
  <si>
    <t xml:space="preserve">The First World War</t>
  </si>
  <si>
    <t xml:space="preserve">Gallipoli, women's war work, the flu of 1918.</t>
  </si>
  <si>
    <t xml:space="preserve">H10.4, H12.1, HU.1</t>
  </si>
  <si>
    <t xml:space="preserve">Cambridge IGCSE 0470 Option A, key question 6, and depth study A; Cambridge 9489 Paper 3</t>
  </si>
  <si>
    <t xml:space="preserve">world-war-i</t>
  </si>
  <si>
    <t xml:space="preserve">By level: 10: 4 new; 12: 1 new, 2 existing; U: 1 existing. The trenches and the July crisis are on existing cards. Fought partly in Tanzania; the carriers belong to T10-U-034. Versailles is named on world-war-i card 4. Phase 2.</t>
  </si>
  <si>
    <t xml:space="preserve">T10-U-021</t>
  </si>
  <si>
    <t xml:space="preserve">Hitler, Churchill and the Second World War</t>
  </si>
  <si>
    <t xml:space="preserve">Appeasement and Hitler's foreign policy, Stalingrad, the fall of Singapore, D-Day, resistance movements.</t>
  </si>
  <si>
    <t xml:space="preserve">H10.8, H12.1, H12.7, HU.1</t>
  </si>
  <si>
    <t xml:space="preserve">Cambridge IGCSE 0470 Option B, key question 3, and depth study E; Cambridge 9489 AS International option, 1929-39</t>
  </si>
  <si>
    <t xml:space="preserve">adolf-hitler, world-war-ii, winston-churchill</t>
  </si>
  <si>
    <t xml:space="preserve">By level: 10: 6 new; 12: 1 new, 6 existing; U: 3 existing. The Pacific war, the atomic bombs and the trials are on existing cards. Appeasement stays because it is IGCSE Option B key question 3. Phase 2.</t>
  </si>
  <si>
    <t xml:space="preserve">T10-U-022</t>
  </si>
  <si>
    <t xml:space="preserve">10, 11, 12, U</t>
  </si>
  <si>
    <t xml:space="preserve">Gandhi and Indian independence</t>
  </si>
  <si>
    <t xml:space="preserve">Nehru, Jinnah, Sarojini Naidu, Subhas Chandra Bose, Quit India in 1942.</t>
  </si>
  <si>
    <t xml:space="preserve">H10.7, H11.2, H12.4, HU.1</t>
  </si>
  <si>
    <t xml:space="preserve">WHFUA Big Era 8, Landscape 8.4; NCERT India and the Contemporary World II Class 10, Nationalism in India; IB DP new guide, Asia and Oceania regional study 6, reference only</t>
  </si>
  <si>
    <t xml:space="preserve">mahatma-gandhi</t>
  </si>
  <si>
    <t xml:space="preserve">By level: 10: 3 new; 11: 2 new; 12: 2 existing; U: 1 existing. Gandhi, the existing set's answer, is described only as an unnamed leader. Ambedkar and Partition are on existing cards; Ambedkar is context only. Partition with care. Phase 2.</t>
  </si>
  <si>
    <t xml:space="preserve">T10-U-023</t>
  </si>
  <si>
    <t xml:space="preserve">11, 12, U</t>
  </si>
  <si>
    <t xml:space="preserve">Science in the twentieth century</t>
  </si>
  <si>
    <t xml:space="preserve">Bohr, Fleming with Florey and Chain, Emmy Noether, Ramanujan, Max Theiler's yellow fever vaccine of 1937, Bernardo Houssay of Argentina, Katherine Johnson, Abdus Salam, Tu Youyou.</t>
  </si>
  <si>
    <t xml:space="preserve">H11.5, H12.4, HU.7</t>
  </si>
  <si>
    <t xml:space="preserve">WHFUA Big Era 8, Landscape 8.6; WHFUA Big Era 9, Landscape 9.5</t>
  </si>
  <si>
    <t xml:space="preserve">albert-einstein, marie-curie, alan-turing</t>
  </si>
  <si>
    <t xml:space="preserve">By level: 11: 6 new; 12: 8 new, 6 existing; U: 4 new, 3 existing. Raised to 18 cards, since ideas and development come before wars and kings. At least three women. Katherine Johnson is named on first-moon-landing card 2, which is rewritten in the same batch if she becomes an answer. Planned topics #57, #58, #66, #67, #68, #83, #85 on the Akelius topic list. Phase 1.</t>
  </si>
  <si>
    <t xml:space="preserve">T10-U-024</t>
  </si>
  <si>
    <t xml:space="preserve">The United Nations</t>
  </si>
  <si>
    <t xml:space="preserve">UNICEF, the WHO, World Heritage sites such as Kilwa and Stone Town, Africa's voice in the General Assembly.</t>
  </si>
  <si>
    <t xml:space="preserve">H11.4, H12.8, HU.2</t>
  </si>
  <si>
    <t xml:space="preserve">NCHS World History Era 9, 1A; Tanzania History O-level 2023, Form IV, Africa in the UN</t>
  </si>
  <si>
    <t xml:space="preserve">united-nations</t>
  </si>
  <si>
    <t xml:space="preserve">By level: 11: 5 new; 12: 2 existing; U: 1 existing. Peacekeepers, new members and Srebrenica are on existing cards. Kilwa and Stone Town are examples, never answers. Phase 2.</t>
  </si>
  <si>
    <t xml:space="preserve">T10-U-025</t>
  </si>
  <si>
    <t xml:space="preserve">The Cold War</t>
  </si>
  <si>
    <t xml:space="preserve">Yalta and Potsdam in 1945, the Berlin Blockade and NATO, Hungary in 1956, Prague in 1968, Solidarity.</t>
  </si>
  <si>
    <t xml:space="preserve">H11.1, H12.1, HU.1</t>
  </si>
  <si>
    <t xml:space="preserve">Cambridge IGCSE 0470 Option B, key questions 4-6; Cambridge 9489 Paper 4 International option, the Soviet Empire in Eastern Europe 1953-91</t>
  </si>
  <si>
    <t xml:space="preserve">cold-war, fall-of-the-berlin-wall</t>
  </si>
  <si>
    <t xml:space="preserve">By level: 11: 5 new; 12: 1 new, 4 existing; U: 2 existing. The arms race, Cuba and 1991 are on existing cards. Hungary is named on a Berlin Wall card, so the answer is a person or event, not the country. Phase 2.</t>
  </si>
  <si>
    <t xml:space="preserve">T10-U-026</t>
  </si>
  <si>
    <t xml:space="preserve">African independence</t>
  </si>
  <si>
    <t xml:space="preserve">Tunisia, Morocco and Sudan in 1956, Leopold Senghor, Kenneth Kaunda, Seretse Khama.</t>
  </si>
  <si>
    <t xml:space="preserve">H11.2, H12.3, HU.1</t>
  </si>
  <si>
    <t xml:space="preserve">NCHS World History Era 9, 1C; IB DP new guide, Africa and the Middle East regional study 10, reference only</t>
  </si>
  <si>
    <t xml:space="preserve">african-independence</t>
  </si>
  <si>
    <t xml:space="preserve">By level: 11: 6 new; 12: 1 new, 2 existing; U: 1 existing. Ghana, Guinea, Algeria, Kenya and the Congo are on existing cards; Nkrumah and Lumumba are context only. Phase 2.</t>
  </si>
  <si>
    <t xml:space="preserve">T10-U-027</t>
  </si>
  <si>
    <t xml:space="preserve">Apartheid and minority rule</t>
  </si>
  <si>
    <t xml:space="preserve">Soweto in 1976, Steve Biko, Zimbabwe in 1980, Namibia in 1990.</t>
  </si>
  <si>
    <t xml:space="preserve">H11.4, H12.4, HU.1</t>
  </si>
  <si>
    <t xml:space="preserve">Cambridge 9489 Paper 4, key questions 8.1-8.4</t>
  </si>
  <si>
    <t xml:space="preserve">nelson-mandela</t>
  </si>
  <si>
    <t xml:space="preserve">By level: 11: 3 new; 12: 2 new, 2 existing; U: 1 existing. Sharpeville and the 1994 election are on existing cards. Phase 2.</t>
  </si>
  <si>
    <t xml:space="preserve">T10-U-028</t>
  </si>
  <si>
    <t xml:space="preserve">The civil rights movement</t>
  </si>
  <si>
    <t xml:space="preserve">Little Rock in 1957, the sit-ins of 1960, Fannie Lou Hamer, the voting law of 1965.</t>
  </si>
  <si>
    <t xml:space="preserve">H11.4, H12.4, HU.3</t>
  </si>
  <si>
    <t xml:space="preserve">Cambridge 9489 Paper 4, key question 5.3</t>
  </si>
  <si>
    <t xml:space="preserve">martin-luther-king</t>
  </si>
  <si>
    <t xml:space="preserve">By level: 11: 2 new; 12: 2 new, 2 existing; U: 1 existing. Rosa Parks and Malcolm X are named on existing King cards, so they are context only; Parks was a trained activist, not just a tired seamstress. King is described only as an unnamed leader. Phase 2.</t>
  </si>
  <si>
    <t xml:space="preserve">T10-U-029</t>
  </si>
  <si>
    <t xml:space="preserve">The space race</t>
  </si>
  <si>
    <t xml:space="preserve">Laika, Valentina Tereshkova, satellites for weather and phones.</t>
  </si>
  <si>
    <t xml:space="preserve">H11.1, H11.5, H12.4, HU.2</t>
  </si>
  <si>
    <t xml:space="preserve">WHFUA Big Era 9, Landscape 9.5</t>
  </si>
  <si>
    <t xml:space="preserve">first-moon-landing</t>
  </si>
  <si>
    <t xml:space="preserve">By level: 11: 3 new; 12: 2 existing; U: 1 existing. Sputnik and Gagarin are on an existing card. Phase 2.</t>
  </si>
  <si>
    <t xml:space="preserve">T10-U-030</t>
  </si>
  <si>
    <t xml:space="preserve">The Green Revolution</t>
  </si>
  <si>
    <t xml:space="preserve">Rice research in the Philippines, farming in Africa.</t>
  </si>
  <si>
    <t xml:space="preserve">H11.5, H11.6, H12.3, HU.1</t>
  </si>
  <si>
    <t xml:space="preserve">WHFUA Big Era 9, Landscape 9.4; AP World History: Modern, the Green Revolution</t>
  </si>
  <si>
    <t xml:space="preserve">norman-borlaug</t>
  </si>
  <si>
    <t xml:space="preserve">By level: 11: 3 new; 12: 2 existing; U: 1 existing. Phase 2.</t>
  </si>
  <si>
    <t xml:space="preserve">T10-U-031</t>
  </si>
  <si>
    <t xml:space="preserve">10, 12</t>
  </si>
  <si>
    <t xml:space="preserve">1848 and new nation states</t>
  </si>
  <si>
    <t xml:space="preserve">The revolutions of 1848, Mazzini, Cavour, Garibaldi, Bismarck, the German empire of 1871.</t>
  </si>
  <si>
    <t xml:space="preserve">H10.1, H12.2</t>
  </si>
  <si>
    <t xml:space="preserve">Cambridge IGCSE 0470 Option A, key questions 1-3; Cambridge 9489 AS European option, Germany 1815-71</t>
  </si>
  <si>
    <t xml:space="preserve">By level: 10: 5 new; 12: 1 new. Cambridge IGCSE content, so placed at level 10. Phase 1.</t>
  </si>
  <si>
    <t xml:space="preserve">T10-U-032</t>
  </si>
  <si>
    <t xml:space="preserve">10</t>
  </si>
  <si>
    <t xml:space="preserve">The US Civil War and Reconstruction</t>
  </si>
  <si>
    <t xml:space="preserve">Slavery, abolitionists, Lincoln, emancipation, Reconstruction.</t>
  </si>
  <si>
    <t xml:space="preserve">H10.2</t>
  </si>
  <si>
    <t xml:space="preserve">Cambridge IGCSE 0470 Option A, key question 4; Cambridge 9489 AS American option, Civil War and Reconstruction</t>
  </si>
  <si>
    <t xml:space="preserve">By level: 10: 6 new. Phase 1.</t>
  </si>
  <si>
    <t xml:space="preserve">T10-U-033</t>
  </si>
  <si>
    <t xml:space="preserve">Direct, indirect and private rule</t>
  </si>
  <si>
    <t xml:space="preserve">Senegal, Nigeria, the Congo Free State, 1898 and the Philippines.</t>
  </si>
  <si>
    <t xml:space="preserve">H10.3</t>
  </si>
  <si>
    <t xml:space="preserve">Cambridge IGCSE 0470 Option A, key question 5; Kenya KICD Senior School Grade 11</t>
  </si>
  <si>
    <t xml:space="preserve">By level: 10: 7 new. No violent images. Phase 1.</t>
  </si>
  <si>
    <t xml:space="preserve">T10-U-034</t>
  </si>
  <si>
    <t xml:space="preserve">Africa in the world wars</t>
  </si>
  <si>
    <t xml:space="preserve">Soldiers and carriers in East Africa, Ethiopia freed in 1941, African troops in Burma.</t>
  </si>
  <si>
    <t xml:space="preserve">H10.4, H10.8</t>
  </si>
  <si>
    <t xml:space="preserve">Cambridge IGCSE 0470 depth study A, key question 2; Kenya KICD Senior School Grade 10, global wars and Africa</t>
  </si>
  <si>
    <t xml:space="preserve">By level: 10: 5 new. The East African carriers belong to this row. Phase 2.</t>
  </si>
  <si>
    <t xml:space="preserve">T10-U-035</t>
  </si>
  <si>
    <t xml:space="preserve">The peace of 1919 and the League</t>
  </si>
  <si>
    <t xml:space="preserve">The peace treaties, mandates such as Tanganyika and Palestine, refugees and the Nansen passport, Manchuria, Abyssinia.</t>
  </si>
  <si>
    <t xml:space="preserve">H10.5</t>
  </si>
  <si>
    <t xml:space="preserve">Cambridge IGCSE 0470 Option B, key questions 1 and 2</t>
  </si>
  <si>
    <t xml:space="preserve">By level: 10: 7 new. The mandates belong to this row. Versailles is named on world-war-i card 4, so answers are the League, a mandate or a crisis, not the treaty's name. Phase 1.</t>
  </si>
  <si>
    <t xml:space="preserve">T10-U-036</t>
  </si>
  <si>
    <t xml:space="preserve">The Russian Revolution and Stalin</t>
  </si>
  <si>
    <t xml:space="preserve">1917, Lenin, the civil war, the five-year plans, famine in Ukraine and Kazakhstan in 1930-33, the Gulag.</t>
  </si>
  <si>
    <t xml:space="preserve">H10.6, H12.5</t>
  </si>
  <si>
    <t xml:space="preserve">Cambridge IGCSE 0470 depth study C; Cambridge 9489 AS European option, Russia 1881-1924</t>
  </si>
  <si>
    <t xml:space="preserve">By level: 10: 6 new; 12: 1 new. The Kazakh famine killed about a third of all Kazakhs, and Central Asia is nearly absent elsewhere. No gore. Planned topic #123 on the Akelius topic list. Phase 1.</t>
  </si>
  <si>
    <t xml:space="preserve">T10-U-037</t>
  </si>
  <si>
    <t xml:space="preserve">The Great Depression</t>
  </si>
  <si>
    <t xml:space="preserve">The boom of the 1920s and Prohibition, the crash, unemployment, falling crop prices in Africa and Asia, the New Deal.</t>
  </si>
  <si>
    <t xml:space="preserve">H10.6</t>
  </si>
  <si>
    <t xml:space="preserve">Cambridge IGCSE 0470 depth study D; Cambridge 9489 AS American option, the Great Crash, the Great Depression and the New Deal</t>
  </si>
  <si>
    <t xml:space="preserve">By level: 10: 6 new. Planned topic #124 on the Akelius topic list. Phase 1.</t>
  </si>
  <si>
    <t xml:space="preserve">T10-U-038</t>
  </si>
  <si>
    <t xml:space="preserve">Fascist Italy and militarist Japan</t>
  </si>
  <si>
    <t xml:space="preserve">Mussolini, Ethiopia in 1935, Manchuria in 1931, the war in China from 1937.</t>
  </si>
  <si>
    <t xml:space="preserve">H10.5, H10.6</t>
  </si>
  <si>
    <t xml:space="preserve">Cambridge 9489 Paper 4 European option, Mussolini's Italy; Cambridge IGCSE 0470 Option B, key question 2; Bhutan History Framework 2022, Class XII</t>
  </si>
  <si>
    <t xml:space="preserve">By level: 10: 6 new. Also Asia. Nanjing with care. Phase 2.</t>
  </si>
  <si>
    <t xml:space="preserve">T10-U-039</t>
  </si>
  <si>
    <t xml:space="preserve">10, 11</t>
  </si>
  <si>
    <t xml:space="preserve">Revolutions in China, 1911-1976</t>
  </si>
  <si>
    <t xml:space="preserve">Sun Yat-sen, the Long March, 1949, the Great Leap famine, the Cultural Revolution.</t>
  </si>
  <si>
    <t xml:space="preserve">H10.7, H11.3</t>
  </si>
  <si>
    <t xml:space="preserve">NCHS World History Era 8, 1B; BNCC 9th year, Chinese revolution; NCERT Themes in World History Class 11, Paths to Modernisation; IB DP new guide, Asia and Oceania regional studies 8 and 12, reference only</t>
  </si>
  <si>
    <t xml:space="preserve">By level: 10: 3 new; 11: 4 new. Factual and calm. Planned topic #125 on the Akelius topic list. Phase 1.</t>
  </si>
  <si>
    <t xml:space="preserve">T10-U-040</t>
  </si>
  <si>
    <t xml:space="preserve">Colonial Africa between the wars</t>
  </si>
  <si>
    <t xml:space="preserve">Cash crops, forced labour, hut taxes, mission schools, the Tanganyika African Association.</t>
  </si>
  <si>
    <t xml:space="preserve">H10.7, H10.3</t>
  </si>
  <si>
    <t xml:space="preserve">WHFUA Big Era 8, Landscape 8.4; Tanzania History O-level 2023, Form III</t>
  </si>
  <si>
    <t xml:space="preserve">By level: 10: 9 new. Local for Tanzania. The Aba Women's War belongs to T10-U-043. Phase 1.</t>
  </si>
  <si>
    <t xml:space="preserve">T10-U-041</t>
  </si>
  <si>
    <t xml:space="preserve">The Mexican Revolution and Latin America to 1945</t>
  </si>
  <si>
    <t xml:space="preserve">Zapata, women soldiers, the constitution of 1917, Frida Kahlo, Vargas in Brazil.</t>
  </si>
  <si>
    <t xml:space="preserve">H10.7</t>
  </si>
  <si>
    <t xml:space="preserve">NCHS World History Era 8, 1B; IB DP new guide, Americas regional study 6, reference only</t>
  </si>
  <si>
    <t xml:space="preserve">By level: 10: 6 new. Images show a workshop or landscape, never Kahlo's paintings. Planned topics #112, #113 on the Akelius topic list. Phase 1.</t>
  </si>
  <si>
    <t xml:space="preserve">T10-U-042</t>
  </si>
  <si>
    <t xml:space="preserve">Writers and thinkers of the twentieth century</t>
  </si>
  <si>
    <t xml:space="preserve">Tagore, Freud, Lu Xun, Gabriela Mistral, Chinua Achebe.</t>
  </si>
  <si>
    <t xml:space="preserve">H10.7, H12.4</t>
  </si>
  <si>
    <t xml:space="preserve">WHFUA key theme Expressing Identity</t>
  </si>
  <si>
    <t xml:space="preserve">By level: 10: 3 new; 12: 3 new. Achebe published in 1958, so the row spans Big Eras 8 and 9. Planned topics #80, #81 on the Akelius topic list. Phase 1.</t>
  </si>
  <si>
    <t xml:space="preserve">T10-U-043</t>
  </si>
  <si>
    <t xml:space="preserve">11, 12</t>
  </si>
  <si>
    <t xml:space="preserve">Women's rights and the vote</t>
  </si>
  <si>
    <t xml:space="preserve">Seneca Falls in 1848, New Zealand in 1893 as the first self-governing country where women voted in national elections, the suffrage campaigns, the Aba Women's War in Nigeria in 1929, Bibi Titi Mohamed, Bandaranaike in 1960, Malala.</t>
  </si>
  <si>
    <t xml:space="preserve">H11.4, H12.8</t>
  </si>
  <si>
    <t xml:space="preserve">NCHS World History Era 7, 4B, women's suffrage, and Era 9, 2C; Cambridge IGCSE 0470 coursework example, Seneca Falls</t>
  </si>
  <si>
    <t xml:space="preserve">By level: 11: 5 new; 12: 3 new. A gap in the existing sets. Bibi Titi Mohamed led TANU's women's wing. Planned topic #84 on the Akelius topic list. Phase 1.</t>
  </si>
  <si>
    <t xml:space="preserve">T10-U-044</t>
  </si>
  <si>
    <t xml:space="preserve">10, U</t>
  </si>
  <si>
    <t xml:space="preserve">The Holocaust</t>
  </si>
  <si>
    <t xml:space="preserve">Anne Frank's diary, the Kindertransport, the Wannsee meeting of 1942 and what its record shows.</t>
  </si>
  <si>
    <t xml:space="preserve">H10.8, HU.6</t>
  </si>
  <si>
    <t xml:space="preserve">Cambridge IGCSE 0470 depth study B; Cambridge 9489 Paper 3, The Holocaust; NCHS World History Era 8, 4B; England National Curriculum 2013, KS3, Holocaust statutory</t>
  </si>
  <si>
    <t xml:space="preserve">By level: 10: 2 new; U: 1 new. No victim images. Ghettos, camps, the Roma, rescuers and testimony are on world-war-ii card 3, so this row adds only three cards. Phase 1.</t>
  </si>
  <si>
    <t xml:space="preserve">T10-U-045</t>
  </si>
  <si>
    <t xml:space="preserve">11</t>
  </si>
  <si>
    <t xml:space="preserve">Wars in Korea and Vietnam</t>
  </si>
  <si>
    <t xml:space="preserve">Korea 1950-53, Dien Bien Phu in 1954, the war in Vietnam, 1975.</t>
  </si>
  <si>
    <t xml:space="preserve">H11.1</t>
  </si>
  <si>
    <t xml:space="preserve">Cambridge IGCSE 0470 Option B, key question 5</t>
  </si>
  <si>
    <t xml:space="preserve">By level: 11: 4 new. The boat refugees belong to T10-U-062. Planned topic #126 on the Akelius topic list. Phase 1.</t>
  </si>
  <si>
    <t xml:space="preserve">T10-U-046</t>
  </si>
  <si>
    <t xml:space="preserve">The end of empire in Asia</t>
  </si>
  <si>
    <t xml:space="preserve">Indonesia, the Philippines, Burma, Sri Lanka, Malaya, the Bandung meeting of 1955.</t>
  </si>
  <si>
    <t xml:space="preserve">H11.2, H12.2</t>
  </si>
  <si>
    <t xml:space="preserve">Cambridge 9489 Paper 4, key question 9.4; NCHS World History Era 9, 1C</t>
  </si>
  <si>
    <t xml:space="preserve">By level: 11: 4 new; 12: 4 new. Phase 2.</t>
  </si>
  <si>
    <t xml:space="preserve">T10-U-047</t>
  </si>
  <si>
    <t xml:space="preserve">South Asia after 1947</t>
  </si>
  <si>
    <t xml:space="preserve">Indian democracy, Pakistan, Bangladesh in 1971, Sri Lanka, Nepal.</t>
  </si>
  <si>
    <t xml:space="preserve">H11.3</t>
  </si>
  <si>
    <t xml:space="preserve">WHFUA Big Era 9, Landscape 9.3; NCHS World History Era 9, 1C; IB DP current guide, South Asia after 1947, reference only</t>
  </si>
  <si>
    <t xml:space="preserve">By level: 11: 5 new. Phase 2.</t>
  </si>
  <si>
    <t xml:space="preserve">T10-U-048</t>
  </si>
  <si>
    <t xml:space="preserve">Pan-Africanism and African unity</t>
  </si>
  <si>
    <t xml:space="preserve">The Pan-African congresses, the OAU of 1963, Dar es Salaam as a base for liberation movements.</t>
  </si>
  <si>
    <t xml:space="preserve">H11.2, H11.3</t>
  </si>
  <si>
    <t xml:space="preserve">NCHS World History Era 9, 1C; Tanzania History A-level 2023, Form V; Tanzania History O-level 2023, Form IV</t>
  </si>
  <si>
    <t xml:space="preserve">By level: 11: 5 new. Pan-Africanism belongs to this row. Nkrumah is named on african-independence card 2, so he is context only. The African Union of 2002 belongs to T10-U-055. Phase 2.</t>
  </si>
  <si>
    <t xml:space="preserve">T10-U-049</t>
  </si>
  <si>
    <t xml:space="preserve">Tanzania: independence, union and ujamaa</t>
  </si>
  <si>
    <t xml:space="preserve">TANU in 1954 and Nyerere's UN speech of 1955, the Zanzibar Revolution of 1964, villagisation and its forced moves in 1973-76, the one-party state of 1965-92, adult literacy campaigns, the war with Idi Amin's Uganda in 1978-79, Nyerere stepping down in 1985, multiparty politics from 1992.</t>
  </si>
  <si>
    <t xml:space="preserve">H11.3, H12.4</t>
  </si>
  <si>
    <t xml:space="preserve">NCHS World History Era 9, 1C; Tanzania HTM Forms II-IV 2023</t>
  </si>
  <si>
    <t xml:space="preserve">By level: 11: 7 new; 12: 1 new. Each card gives aims, results and criticism; neutral tone, not the HTM values framing. Independence in 1961, the union and the aims of ujamaa villages are on existing african-independence cards. Nyerere appears only as an option on existing cards, so he can be an answer. The 1986 reforms belong to T10-U-054. Planned topic #95 on the Akelius topic list. Phase 1.</t>
  </si>
  <si>
    <t xml:space="preserve">T10-U-050</t>
  </si>
  <si>
    <t xml:space="preserve">The Middle East since 1945</t>
  </si>
  <si>
    <t xml:space="preserve">1948 as Israel's independence and the Nakba, Suez in 1956, the war of 1967, the war and oil crisis of 1973, Camp David in 1978 and the peace of 1979, Iran in 1979, Oslo in 1993, the Arab Spring in 2011.</t>
  </si>
  <si>
    <t xml:space="preserve">H11.8, H11.2, H12.2</t>
  </si>
  <si>
    <t xml:space="preserve">NCHS World History Era 9, Standard 2; Tanzania History A-level 2023, Form VI, Camp David and Oslo; BNCC 9th year, Palestine</t>
  </si>
  <si>
    <t xml:space="preserve">By level: 11: 6 new; 12: 2 new. Every card gives both peoples' views. Cards stop at 2011 or give later wars only as dated facts. OPEC was founded in 1960. Akelius plans schools in Gaza, so this row needs a named reviewer; see open questions. Phase 2.</t>
  </si>
  <si>
    <t xml:space="preserve">T10-U-051</t>
  </si>
  <si>
    <t xml:space="preserve">Latin America in the Cold War</t>
  </si>
  <si>
    <t xml:space="preserve">Peron, Cuba in 1959, Brazil's military rule of 1964-85, Chile in 1973 and Argentina, the disappeared, the return of democracy, Rigoberta Menchu.</t>
  </si>
  <si>
    <t xml:space="preserve">H11.1, H11.4, H12.2, HU.2</t>
  </si>
  <si>
    <t xml:space="preserve">Cambridge IGCSE 0470 Option B, key question 5, Cuba; IB DP new guide, Americas regional study 9, reference only; BNCC 9th year</t>
  </si>
  <si>
    <t xml:space="preserve">By level: 11: 5 new; 12: 2 new; U: 1 new. Menchu's memoir is debated, which gives the source card at U. Peron is also a Cambridge coursework example. Planned topic #114 on the Akelius topic list. Phase 1.</t>
  </si>
  <si>
    <t xml:space="preserve">T10-U-052</t>
  </si>
  <si>
    <t xml:space="preserve">Global health</t>
  </si>
  <si>
    <t xml:space="preserve">The end of smallpox in 1980, with the last natural case in Somalia in 1977, polio, HIV in Africa, bed nets against malaria, COVID-19.</t>
  </si>
  <si>
    <t xml:space="preserve">H11.5</t>
  </si>
  <si>
    <t xml:space="preserve">WHFUA Big Era 9, Landscapes 9.5 and 9.6</t>
  </si>
  <si>
    <t xml:space="preserve">By level: 11: 6 new. The end of smallpox belongs to this row; Jenner belongs to T7-9-054 and Tu Youyou's malaria medicine to T10-U-023. Planned topic #130 on the Akelius topic list. Phase 1.</t>
  </si>
  <si>
    <t xml:space="preserve">T10-U-053</t>
  </si>
  <si>
    <t xml:space="preserve">Computers, internet and mobile phones</t>
  </si>
  <si>
    <t xml:space="preserve">ARPANET, the web, phones in Africa, M-Pesa in 2007.</t>
  </si>
  <si>
    <t xml:space="preserve">NCHS World History Era 9, 2E; WHFUA Big Era 9, Landscape 9.5</t>
  </si>
  <si>
    <t xml:space="preserve">By level: 11: 6 new. The history of mobile money belongs to this row. Planned topic #128 on the Akelius topic list. Phase 1.</t>
  </si>
  <si>
    <t xml:space="preserve">T10-U-054</t>
  </si>
  <si>
    <t xml:space="preserve">A more connected world economy and falling poverty</t>
  </si>
  <si>
    <t xml:space="preserve">The shipping container, the Asian tigers, Deng's reforms, the European Union, Tanzania's liberalisation after 1986.</t>
  </si>
  <si>
    <t xml:space="preserve">H11.6</t>
  </si>
  <si>
    <t xml:space="preserve">AP World History: Modern Unit 9; WHFUA Big Era 9, Landscape 9.4; Tanzania HTM Form IV 2023</t>
  </si>
  <si>
    <t xml:space="preserve">By level: 11: 6 new. Answers are things such as the shipping container or Deng's reforms; the word global never appears in clue text. Planned topic #127 on the Akelius topic list. Phase 1.</t>
  </si>
  <si>
    <t xml:space="preserve">T10-U-055</t>
  </si>
  <si>
    <t xml:space="preserve">Africa since 1990</t>
  </si>
  <si>
    <t xml:space="preserve">Multiparty elections, growing cities, the African Union of 2002, Ellen Johnson Sirleaf in 2006, Rwanda's growth and the limits on free politics.</t>
  </si>
  <si>
    <t xml:space="preserve">H11.3, H11.6</t>
  </si>
  <si>
    <t xml:space="preserve">WHFUA Big Era 9, Landscape 9.4; Tanzania History A-level 2023, Form VI</t>
  </si>
  <si>
    <t xml:space="preserve">By level: 11: 5 new. Mobile money belongs to T10-U-053. Phase 2.</t>
  </si>
  <si>
    <t xml:space="preserve">T10-U-056</t>
  </si>
  <si>
    <t xml:space="preserve">11, U</t>
  </si>
  <si>
    <t xml:space="preserve">Environment and climate change</t>
  </si>
  <si>
    <t xml:space="preserve">Rachel Carson, the Montreal Protocol of 1987, the Paris Agreement of 2015, Wangari Maathai, Bhutan's forests.</t>
  </si>
  <si>
    <t xml:space="preserve">H11.7, HU.4</t>
  </si>
  <si>
    <t xml:space="preserve">WHFUA Big Era 9, Landscape 9.6; AP World History: Modern theme Humans and the Environment</t>
  </si>
  <si>
    <t xml:space="preserve">By level: 11: 7 new; U: 1 new. Wangari Maathai belongs to this row; the level-3 card in T1-3-026 takes another facet. Planned topics #82, #134 on the Akelius topic list. Phase 1.</t>
  </si>
  <si>
    <t xml:space="preserve">T10-U-057</t>
  </si>
  <si>
    <t xml:space="preserve">Human rights and genocide after 1945</t>
  </si>
  <si>
    <t xml:space="preserve">The Genocide Convention of 1948, Cambodia in 1975-79, the 1994 genocide against the Tutsi and the Arusha tribunal, Srebrenica in 1995.</t>
  </si>
  <si>
    <t xml:space="preserve">H11.8, HU.6</t>
  </si>
  <si>
    <t xml:space="preserve">NCHS World History Era 9, Standard 2; Tanzania History A-level 2023, Form VI</t>
  </si>
  <si>
    <t xml:space="preserve">By level: 11: 4 new; U: 1 new. Sensitive. Hutu who opposed the killing were also murdered. The Cambodia court found genocide against the Cham and the Vietnamese, while most victims were other Cambodians. Srebrenica is named on a UN card, so it is context only. Malala moved to T10-U-043. Phase 2.</t>
  </si>
  <si>
    <t xml:space="preserve">T10-U-058</t>
  </si>
  <si>
    <t xml:space="preserve">Bhutan in the modern world</t>
  </si>
  <si>
    <t xml:space="preserve">The Treaty of Sinchula of 1865, the hereditary monarchy of 1907, the Treaty of Punakha of 1910, the National Assembly and the end of serfdom under the Third King in the 1950s, UN membership in 1971, Gross National Happiness, the constitution of 2008.</t>
  </si>
  <si>
    <t xml:space="preserve">WHFUA Big Era 9, Landscape 9.3; Bhutan History Framework 2022, Classes VII, VIII, X and XII</t>
  </si>
  <si>
    <t xml:space="preserve">By level: 11: 4 new; 12: 3 new. Sinchula is 1865; the framework once misprints 1885. Bhutan's UN membership belongs to this row. Neutral tone. Phase 1.</t>
  </si>
  <si>
    <t xml:space="preserve">T10-U-059</t>
  </si>
  <si>
    <t xml:space="preserve">The world since 1991</t>
  </si>
  <si>
    <t xml:space="preserve">New states after 1991, the break-up of Yugoslavia, the bombing of the US embassy in Dar es Salaam in 1998, BRICS.</t>
  </si>
  <si>
    <t xml:space="preserve">H11.8, H11.6</t>
  </si>
  <si>
    <t xml:space="preserve">WHFUA Big Era 9, Landscape 9.1; Tanzania History A-level 2023, Form VI; BNCC 9th year</t>
  </si>
  <si>
    <t xml:space="preserve">By level: 11: 3 new. Terrorism only as dated facts, with no images of attacks. Phase 1.</t>
  </si>
  <si>
    <t xml:space="preserve">T10-U-060</t>
  </si>
  <si>
    <t xml:space="preserve">How historians know</t>
  </si>
  <si>
    <t xml:space="preserve">Archives, oral history, carbon dating, DNA, chronicles written by the winners, what is missing from the records.</t>
  </si>
  <si>
    <t xml:space="preserve">NCHS Historical Thinking Standard 4; Cambridge 9489 AO3; Bhutan History Framework 2022, Classes XI and XII</t>
  </si>
  <si>
    <t xml:space="preserve">By level: 12: 2 new; U: 3 new. Griots belong to T7-9-012 and T10-U-007, and returned objects to T10-U-007. Phase 2.</t>
  </si>
  <si>
    <t xml:space="preserve">T10-U-061</t>
  </si>
  <si>
    <t xml:space="preserve">Big patterns of world history</t>
  </si>
  <si>
    <t xml:space="preserve">Population and energy, growing exchange networks, why industry began in Britain and not in China, the great acceleration after 1945.</t>
  </si>
  <si>
    <t xml:space="preserve">H12.3, HU.4</t>
  </si>
  <si>
    <t xml:space="preserve">NCHS World History Across the Eras; WHFUA Big Era 8, Landscape 8.7</t>
  </si>
  <si>
    <t xml:space="preserve">By level: 12: 2 new; U: 3 new. Phase 2.</t>
  </si>
  <si>
    <t xml:space="preserve">T10-U-062</t>
  </si>
  <si>
    <t xml:space="preserve">Refugees and migration since 1945</t>
  </si>
  <si>
    <t xml:space="preserve">Refugees of the 1947 partition, Palestinian refugees, Europe after 1945, Vietnamese boat people, refugees from Rwanda and Burundi in Tanzania, workers moving to the Gulf.</t>
  </si>
  <si>
    <t xml:space="preserve">H11.8, H11.6, H12.2</t>
  </si>
  <si>
    <t xml:space="preserve">WHFUA key theme Patterns of Population; IB DP new guide, Focused study 4, reference only; Tanzania History A-level 2023, Form VI</t>
  </si>
  <si>
    <t xml:space="preserve">By level: 11: 4 new; 12: 2 new. Added because refugees, one of the most common experiences since 1945, had no row. Tanzania naturalised about 162,000 Burundian refugees in 2014. Phase 2.</t>
  </si>
  <si>
    <t xml:space="preserve">T10-U-063</t>
  </si>
  <si>
    <t xml:space="preserve">The USA from the Gilded Age to 1993</t>
  </si>
  <si>
    <t xml:space="preserve">Railways and big business, Progressive reformers, the USA under Truman and Eisenhower, Watergate and the USA from 1974 to 1993.</t>
  </si>
  <si>
    <t xml:space="preserve">H12.3, H12.4, HU.1</t>
  </si>
  <si>
    <t xml:space="preserve">Cambridge 9489 AS American option, the Gilded Age and the Progressive Era 1870-1920; Cambridge 9489 Paper 4 American option, the USA 1945-61 and 1974-93</t>
  </si>
  <si>
    <t xml:space="preserve">By level: 12: 4 new; U: 2 new. Added so that the Cambridge AS and A Level American options have a row. The boom of the 1920s and Prohibition belong to T10-U-037. Phase 2.</t>
  </si>
  <si>
    <t xml:space="preserve">L1</t>
  </si>
  <si>
    <t xml:space="preserve">L2</t>
  </si>
  <si>
    <t xml:space="preserve">L3</t>
  </si>
  <si>
    <t xml:space="preserve">L4</t>
  </si>
  <si>
    <t xml:space="preserve">L5</t>
  </si>
  <si>
    <t xml:space="preserve">L6</t>
  </si>
  <si>
    <t xml:space="preserve">L7</t>
  </si>
  <si>
    <t xml:space="preserve">L8</t>
  </si>
  <si>
    <t xml:space="preserve">L9</t>
  </si>
  <si>
    <t xml:space="preserve">L10</t>
  </si>
  <si>
    <t xml:space="preserve">L11</t>
  </si>
  <si>
    <t xml:space="preserve">L12</t>
  </si>
  <si>
    <t xml:space="preserve">U</t>
  </si>
  <si>
    <t xml:space="preserve">Total</t>
  </si>
  <si>
    <t xml:space="preserve">Check</t>
  </si>
  <si>
    <t xml:space="preserve">What the tier covers</t>
  </si>
  <si>
    <t xml:space="preserve">What a card looks like</t>
  </si>
  <si>
    <t xml:space="preserve">Cards</t>
  </si>
  <si>
    <t xml:space="preserve">Level 1 is the child's world then and now, with time, family, homes, travel, festivals and leaders. Level 2 covers human ancestors in East Africa, Stone Age life, and family life then and now in two places. Level 3 covers first farmers, towns and cities, writing, money, famous places, journeys and helpers from every continent. All new.</t>
  </si>
  <si>
    <t xml:space="preserve">Level 1 about 15 to 25 words in 3 to 6 sentences, no glossary, one-word options, written to be read aloud by a teacher or parent. Level 2 about 40 words in 3 to 6 sentences, at most one glossary word. Level 3 about 60 to 70 words in 5 to 9 sentences on the front, as on the sample card about paper, with up to three glossary words on the back. The picture shows the setting or one clue, never the answer, and no question asks what the picture shows. One concrete thing per card. Questions: which one, what was it for, which came first, then or now. Nothing frightening.</t>
  </si>
  <si>
    <t xml:space="preserve">4, 5, 6</t>
  </si>
  <si>
    <t xml:space="preserve">Levels 4-5: human origins to about 500 CE, Big Eras 1-4, with farming, river civilisations, early states in Africa, Asia and the Americas, traditional leadership, early belief and classical empires. Level 6: the 80 existing level-6 cards plus first-look cards on Africa, Asia, Latin America and the Middle East, so every pupil meets the whole timeline once.</t>
  </si>
  <si>
    <t xml:space="preserve">House format, about 80 to 110 words in 7 to 12 sentences of about seven words, glossary for words outside the 1,000 most common. Anonymised clue chain. Questions: identify, order two events, one simple cause or result. Centuries, not exact years. Belief marked as belief.</t>
  </si>
  <si>
    <t xml:space="preserve">About 300 to 1900, Big Eras 5-7. Level 7: Islam and the medieval worlds of Africa, Asia, Europe, the Americas and the Pacific, and how we know about states with few written records. Level 8: 1450-1800, with voyages, the Columbian Exchange, slave trades, land empires, and limited and absolute monarchy. Level 9: 1750-1900, with revolutions, industry, abolition, migration and conquest, plus the 80 existing level-9 cards.</t>
  </si>
  <si>
    <t xml:space="preserve">About 100 to 130 words in 9 to 12 sentences, three to five glossary words, two or three linked clues across regions or from cause to effect. Questions on cause and consequence, comparison, change over time and how we know. Key dates allowed. Conquest and slavery told from more than one side, no gore.</t>
  </si>
  <si>
    <t xml:space="preserve">Level 10: 1848-1945 on Cambridge IGCSE Option A, Option B key questions 1-3 and depth studies A-E. Level 11: the world since 1945, with IGCSE Option B key questions 4-6 for the Cold War and the other layers for decolonisation, rights, globalisation and the environment. Level 12: Cambridge AS Level depth and comparison across eras, with 160 existing cards. U: A Level Papers 3 and 4, AP World History: Modern and the NCHS grade 9-12 standards, for evidence, myths and interpretations, with 80 existing cards.</t>
  </si>
  <si>
    <t xml:space="preserve">About 110 to 140 words in 9 to 12 short sentences, with abstract terms such as mandate or interpretation in the glossary. Levels 10-11 ask for causes, results and significance; 12 compares and tracks change; U asks which evidence supports a claim or which view a historian holds. One defensible answer of four. Sensitive topics through facts and testimony, with no victim images.</t>
  </si>
  <si>
    <t xml:space="preserve">Outcome ID</t>
  </si>
  <si>
    <t xml:space="preserve">By the end of the level, students can</t>
  </si>
  <si>
    <t xml:space="preserve">Topic rows that teach it</t>
  </si>
  <si>
    <t xml:space="preserve">By the end of level 1, students can use time words such as before, after, long ago and today, and put two events in order.</t>
  </si>
  <si>
    <t xml:space="preserve">H1.2</t>
  </si>
  <si>
    <t xml:space="preserve">By the end of level 1, students can tell an old object from a new one and say what each was for, such as an oil lamp and a light bulb.</t>
  </si>
  <si>
    <t xml:space="preserve">NCHS K-4 Topic 4, Standard 8A; England National Curriculum 2013, KS1, changes within living memory</t>
  </si>
  <si>
    <t xml:space="preserve">T1-3-003, T1-3-030</t>
  </si>
  <si>
    <t xml:space="preserve">H1.3</t>
  </si>
  <si>
    <t xml:space="preserve">By the end of level 1, students can describe how children lived long ago, such as how they learned, played and travelled, and say what has changed and what is still the same today.</t>
  </si>
  <si>
    <t xml:space="preserve">NCHS K-4 Topic 1, Standard 1; Tanzania HTM primary 2023, Std III; IB PYP Social studies scope and sequence 2008, age band 5-7, reference only</t>
  </si>
  <si>
    <t xml:space="preserve">T1-3-002, T1-3-003, T1-3-030</t>
  </si>
  <si>
    <t xml:space="preserve">H1.4</t>
  </si>
  <si>
    <t xml:space="preserve">By the end of level 1, students can name clues about the past, such as old objects, photographs, buildings and stories told by grandparents.</t>
  </si>
  <si>
    <t xml:space="preserve">H1.5</t>
  </si>
  <si>
    <t xml:space="preserve">By the end of level 1, students can recognise that people everywhere mark special days with stories, songs and festivals, and that some festivals come from religious belief.</t>
  </si>
  <si>
    <t xml:space="preserve">T1-3-005, T1-3-024</t>
  </si>
  <si>
    <t xml:space="preserve">H1.6</t>
  </si>
  <si>
    <t xml:space="preserve">By the end of level 1, students can compare how people travelled and sent messages long ago and today, such as camels, boats, drums, letters and phones.</t>
  </si>
  <si>
    <t xml:space="preserve">By the end of level 1, students can name who makes rules in a family, a school and a village, and say that leaders long ago were often elders, chiefs, kings or queens.</t>
  </si>
  <si>
    <t xml:space="preserve">WHFUA key theme Uses and Abuses of Power; Tanzania HTM primary 2023, Std III, leadership at family, clan and school level; Bhutan Social Studies 2025, Class IV, local government</t>
  </si>
  <si>
    <t xml:space="preserve">H2.1</t>
  </si>
  <si>
    <t xml:space="preserve">By the end of level 2, students can say that the first humans and their older ancestors lived in Africa, and that very old footprints and bones of these ancestors were found in Tanzania and Ethiopia.</t>
  </si>
  <si>
    <t xml:space="preserve">WHFUA Big Era 1, Landscape 1.2; NCHS World History Era 1, Standard 1; Kenya KICD Junior School Grade 8</t>
  </si>
  <si>
    <t xml:space="preserve">By the end of level 2, students can describe how early people found food by hunting, fishing and gathering plants.</t>
  </si>
  <si>
    <t xml:space="preserve">By the end of level 2, students can name the first tools and skills of early people: stone tools, fire, clothes and shelters.</t>
  </si>
  <si>
    <t xml:space="preserve">NCHS K-4 Topic 4, Standard 8A; England National Curriculum 2013, KS2, Stone Age to Iron Age</t>
  </si>
  <si>
    <t xml:space="preserve">By the end of level 2, students can recognise that early people painted on rocks and made beads, and that these are clues about their lives.</t>
  </si>
  <si>
    <t xml:space="preserve">By the end of level 2, students can say that over a very long time people walked and sailed out of Africa and reached almost every land.</t>
  </si>
  <si>
    <t xml:space="preserve">NCHS K-4 Topic 4, Standard 7B, great migrations; Big History Project Unit 6</t>
  </si>
  <si>
    <t xml:space="preserve">H2.6</t>
  </si>
  <si>
    <t xml:space="preserve">By the end of level 2, students can explain simply how archaeologists learn about people who left no writing.</t>
  </si>
  <si>
    <t xml:space="preserve">NCHS K-4 Topic 4, Standard 7A, how historians learn without written records</t>
  </si>
  <si>
    <t xml:space="preserve">T1-3-004, T1-3-008</t>
  </si>
  <si>
    <t xml:space="preserve">H2.7</t>
  </si>
  <si>
    <t xml:space="preserve">By the end of level 2, students can compare how families lived long ago and live today in two places, such as an East African homestead and a Himalayan farm, by their homes, food, work and travel.</t>
  </si>
  <si>
    <t xml:space="preserve">NCHS K-4 Topic 1, Standard 1, family life in various places long ago; IB PYP Social studies scope and sequence 2008, age band 7-9, reference only</t>
  </si>
  <si>
    <t xml:space="preserve">T1-3-002, T1-3-003, T1-3-028, T1-3-029, T1-3-030, T1-3-031</t>
  </si>
  <si>
    <t xml:space="preserve">H2.8</t>
  </si>
  <si>
    <t xml:space="preserve">By the end of level 2, students can name ways people long ago traded, travelled and marked special days, such as swapping goods, markets, boats, harvest festivals and holy places.</t>
  </si>
  <si>
    <t xml:space="preserve">NCHS K-4 Topic 4, Standard 7A, holidays and ceremonies, and Standard 8B; WHFUA key theme Economic Networks and Exchange</t>
  </si>
  <si>
    <t xml:space="preserve">T1-3-005, T1-3-006, T1-3-018, T1-3-024, T1-3-029, T1-3-031</t>
  </si>
  <si>
    <t xml:space="preserve">H3.1</t>
  </si>
  <si>
    <t xml:space="preserve">By the end of level 3, students can explain how farming changed life: people stayed in one place, kept animals and stored food.</t>
  </si>
  <si>
    <t xml:space="preserve">NCHS K-4 Topic 4, Standard 8A; WHFUA Big Era 3, Landscape 3.1; BNCC EF04HI02</t>
  </si>
  <si>
    <t xml:space="preserve">T1-3-013, T1-3-028</t>
  </si>
  <si>
    <t xml:space="preserve">By the end of level 3, students can match crops and animals to where they were first farmed, such as rice in China, maize in Mexico and sorghum in Africa.</t>
  </si>
  <si>
    <t xml:space="preserve">T1-3-013, T1-3-014, T1-3-021, T1-3-022</t>
  </si>
  <si>
    <t xml:space="preserve">H3.3</t>
  </si>
  <si>
    <t xml:space="preserve">By the end of level 3, students can say why many early cities grew beside rivers such as the Nile, the Tigris, the Indus and the Yellow River.</t>
  </si>
  <si>
    <t xml:space="preserve">By the end of level 3, students can name inventions and say what they were for, such as the wheel, sailing boats, writing, paper and vaccines.</t>
  </si>
  <si>
    <t xml:space="preserve">NCHS K-4 Topic 4, Standards 8A and 8C</t>
  </si>
  <si>
    <t xml:space="preserve">T1-3-006, T1-3-016, T1-3-017, T1-3-021, T1-3-022, T1-3-023, T1-3-027</t>
  </si>
  <si>
    <t xml:space="preserve">By the end of level 3, students can name famous places such as Great Zimbabwe, Angkor, Lalibela and the dzongs of Bhutan from what they were for and who built them.</t>
  </si>
  <si>
    <t xml:space="preserve">NCHS K-4 Topic 4, Standard 7A; Kenya KICD Junior School Grade 8, historical sites; BNCC 5th year, heritage of humanity</t>
  </si>
  <si>
    <t xml:space="preserve">T1-3-019, T1-3-020, T1-3-024, T1-3-029, T1-3-031</t>
  </si>
  <si>
    <t xml:space="preserve">By the end of level 3, students can identify what a famous traveller, helper, inventor or scientist did, such as a long sea journey, a new medicine or a forest planted again.</t>
  </si>
  <si>
    <t xml:space="preserve">NCHS K-4 Topic 4, Standards 7 and 8A; England National Curriculum 2013, KS1, significant individuals</t>
  </si>
  <si>
    <t xml:space="preserve">T1-3-025, T1-3-026, T1-3-027, T1-3-028</t>
  </si>
  <si>
    <t xml:space="preserve">H3.7</t>
  </si>
  <si>
    <t xml:space="preserve">By the end of level 3, students can put big steps of the human story in order, first tools, first farms, first towns and first writing, and say which clue tells us about each, such as stone tools, seeds or clay tablets.</t>
  </si>
  <si>
    <t xml:space="preserve">Cambridge Primary Humanities 0065, Past strand; IB PYP Social studies scope and sequence 2008, age band 7-9, reference only</t>
  </si>
  <si>
    <t xml:space="preserve">T1-3-015, T1-3-016, T1-3-020, T1-3-021, T1-3-022, T1-3-023</t>
  </si>
  <si>
    <t xml:space="preserve">H3.8</t>
  </si>
  <si>
    <t xml:space="preserve">By the end of level 3, students can describe different ways people have paid and traded, such as swapping goods, salt, cowrie shells, coins, paper money and mobile money.</t>
  </si>
  <si>
    <t xml:space="preserve">By the end of level 4, students can put the main steps of human evolution in order, walking upright, the first stone tools, the use of fire and Homo sapiens, and say which African site gives evidence for each.</t>
  </si>
  <si>
    <t xml:space="preserve">WHFUA Big Era 1, Landscape 1.2; Tanzania History O-level 2023, Form I; Kenya KICD Junior School Grade 8</t>
  </si>
  <si>
    <t xml:space="preserve">By the end of level 4, students can tell a people's origin story apart from what scientists learn from bones and tools, and describe the story as a belief.</t>
  </si>
  <si>
    <t xml:space="preserve">NCHS K-4 Topic 4, Standard 7A, folktales, legends and myths; WHFUA Big Era 1, Landscape 1.2; Big History Project Unit 1, origin stories; Kenya KICD Junior School Grades 7 and 8</t>
  </si>
  <si>
    <t xml:space="preserve">By the end of level 4, students can describe how modern humans spread from Africa to Asia, Australia, Europe and the Americas, in rough order.</t>
  </si>
  <si>
    <t xml:space="preserve">WHFUA Big Era 2, Landscape 2.1; NCHS K-4 Topic 4, Standard 7B; BNCC 6th year</t>
  </si>
  <si>
    <t xml:space="preserve">T4-6-005, T4-6-035</t>
  </si>
  <si>
    <t xml:space="preserve">H4.4</t>
  </si>
  <si>
    <t xml:space="preserve">By the end of level 4, students can give one gain and one loss that farming brought, such as more food but harder work, more disease and less varied food.</t>
  </si>
  <si>
    <t xml:space="preserve">Big History Project Unit 7; NCHS World History Era 1, Standard 2; Kenya KICD Senior School Grade 10, 2.1</t>
  </si>
  <si>
    <t xml:space="preserve">T4-6-006, T4-6-007</t>
  </si>
  <si>
    <t xml:space="preserve">H4.5</t>
  </si>
  <si>
    <t xml:space="preserve">By the end of level 4, students can explain how farming spread from where it began, such as wheat from the Fertile Crescent to Egypt and Europe, and maize from Mexico across the Americas.</t>
  </si>
  <si>
    <t xml:space="preserve">H4.6</t>
  </si>
  <si>
    <t xml:space="preserve">By the end of level 4, students can explain how stored food led to villages, trade and differences between rich and poor.</t>
  </si>
  <si>
    <t xml:space="preserve">WHFUA key theme Haves and Have-Nots; NCERT Understanding Society Grade 9 Part 1, chapter 4</t>
  </si>
  <si>
    <t xml:space="preserve">By the end of level 4, students can explain how metal tools, the wheel and tamed horses changed farming, travel and war.</t>
  </si>
  <si>
    <t xml:space="preserve">NCHS World History Era 2, Standard 3, and Era 3, Standard 1; WHFUA Big Era 3, Landscape 3.4</t>
  </si>
  <si>
    <t xml:space="preserve">By the end of level 4, students can order dates written in BCE and CE, say which century a year belongs to, and say which kind of source, such as an object, a building, a written record or a story, tells us about an event.</t>
  </si>
  <si>
    <t xml:space="preserve">NCHS Historical Thinking Standard 1, Chronological Thinking; NCERT Exploring Society Grade 6, timeline and sources; Tanzania History O-level 2023, Form I, sources</t>
  </si>
  <si>
    <t xml:space="preserve">T4-6-001, T4-6-002</t>
  </si>
  <si>
    <t xml:space="preserve">H5.1</t>
  </si>
  <si>
    <t xml:space="preserve">By the end of level 5, students can compare two river civilisations, such as Egypt and the Indus valley, by how they farmed, built, traded and wrote.</t>
  </si>
  <si>
    <t xml:space="preserve">NCHS World History Era 2, Standards 1 and 2; England National Curriculum 2013, KS2, earliest civilisations</t>
  </si>
  <si>
    <t xml:space="preserve">T4-6-009, T4-6-010, T4-6-011, T4-6-012</t>
  </si>
  <si>
    <t xml:space="preserve">H5.2</t>
  </si>
  <si>
    <t xml:space="preserve">By the end of level 5, students can explain why writing was invented, and match early scripts to their people and material, such as wedge marks on clay in Mesopotamia, picture signs on papyrus in Egypt and signs on bones in China.</t>
  </si>
  <si>
    <t xml:space="preserve">NCHS World History Era 2, 1A; NCERT Themes in World History Class 11, Writing and City Life</t>
  </si>
  <si>
    <t xml:space="preserve">T4-6-010, T4-6-012, T4-6-013</t>
  </si>
  <si>
    <t xml:space="preserve">H5.3</t>
  </si>
  <si>
    <t xml:space="preserve">By the end of level 5, students can describe the roles of rulers, priests, scribes, farmers, women, children and enslaved people in an early city.</t>
  </si>
  <si>
    <t xml:space="preserve">NCHS World History Era 2, Standard 1; BNCC EF06HI17</t>
  </si>
  <si>
    <t xml:space="preserve">T4-6-009, T4-6-020, T4-6-028, T4-6-031</t>
  </si>
  <si>
    <t xml:space="preserve">By the end of level 5, students can identify other early civilisations, such as Kush on the upper Nile, the Olmec in Mexico, Caral in Peru and Bronze Age Crete.</t>
  </si>
  <si>
    <t xml:space="preserve">WHFUA Big Era 3, Landscapes 3.3 and 3.5; NCHS World History Era 2, 2B, and Era 3, 1C and Standard 4; Kenya KICD Junior School Grade 8, Meroe</t>
  </si>
  <si>
    <t xml:space="preserve">T4-6-014, T4-6-015, T4-6-016, T4-6-017, T4-6-034</t>
  </si>
  <si>
    <t xml:space="preserve">H5.5</t>
  </si>
  <si>
    <t xml:space="preserve">By the end of level 5, students can explain how laws, calendars, weights and numbers helped people in early states live and trade together.</t>
  </si>
  <si>
    <t xml:space="preserve">NCHS World History Era 2, Standard 1; Bhutan History Framework 2022, Classes IX and X</t>
  </si>
  <si>
    <t xml:space="preserve">T4-6-010, T4-6-011, T4-6-021, T4-6-030, T4-6-033</t>
  </si>
  <si>
    <t xml:space="preserve">H5.6</t>
  </si>
  <si>
    <t xml:space="preserve">By the end of level 5, students can name early teachers and traditions of belief, such as the Hebrew prophets, the Vedas, Confucius and the Buddha, and give one teaching of each as a belief.</t>
  </si>
  <si>
    <t xml:space="preserve">NCHS World History Era 3, Standards 1 and 3; Bhutan Social Studies 2025, Class IV, Lord Buddha</t>
  </si>
  <si>
    <t xml:space="preserve">T4-6-009, T4-6-018, T4-6-019, T4-6-026, T4-6-027, T4-6-046</t>
  </si>
  <si>
    <t xml:space="preserve">H5.7</t>
  </si>
  <si>
    <t xml:space="preserve">By the end of level 5, students can say how archaeology and the reading of old scripts tell us about ancient peoples.</t>
  </si>
  <si>
    <t xml:space="preserve">Cambridge Primary Humanities 0065, Stages 4-6, Past strand, how we construct the past; NCERT Understanding Society Grade 9 Part 1, chapter 4</t>
  </si>
  <si>
    <t xml:space="preserve">T4-6-002, T4-6-011, T4-6-013</t>
  </si>
  <si>
    <t xml:space="preserve">By the end of level 5, students can name traditional forms of leadership in Africa and Asia, such as councils of elders, chiefdoms and kingdoms like Buganda, and say how leaders were chosen.</t>
  </si>
  <si>
    <t xml:space="preserve">WHFUA key theme Uses and Abuses of Power; Kenya KICD Upper Primary Grades 5 and 6, traditional government; Tanzania HTM primary 2023, Std IV, traditional authorities</t>
  </si>
  <si>
    <t xml:space="preserve">H6.1</t>
  </si>
  <si>
    <t xml:space="preserve">By the end of level 6, students can identify the great empires of about 500 BCE to 500 CE, such as Persia, Rome, the Maurya, Han and Gupta empires, Kush and Aksum, and one thing each is known for.</t>
  </si>
  <si>
    <t xml:space="preserve">NCHS World History Era 3, 1C and Standards 2 and 3, and Era 4, 1C; WHFUA Big Era 4, Landscapes 4.4 and 4.5</t>
  </si>
  <si>
    <t xml:space="preserve">T4-6-014, T4-6-021, T4-6-024, T4-6-028, T4-6-030, T4-6-031, T4-6-033</t>
  </si>
  <si>
    <t xml:space="preserve">H6.2</t>
  </si>
  <si>
    <t xml:space="preserve">By the end of level 6, students can describe how citizens took part in government in Athens and the Roman Republic, and who was left out.</t>
  </si>
  <si>
    <t xml:space="preserve">NCHS World History Era 3, 2A and 3A; BNCC 6th year, polis and citizenship</t>
  </si>
  <si>
    <t xml:space="preserve">T4-6-020, T4-6-022, T4-6-028</t>
  </si>
  <si>
    <t xml:space="preserve">H6.3</t>
  </si>
  <si>
    <t xml:space="preserve">By the end of level 6, students can describe how Buddhism, Christianity and other beliefs spread through traders, teachers and rulers, and say that their teachings are beliefs.</t>
  </si>
  <si>
    <t xml:space="preserve">NCHS World History Era 3, Standard 3, and Era 4, 1B; Bhutan Social Studies 2025, Class IV, Guru Rinpoche</t>
  </si>
  <si>
    <t xml:space="preserve">T4-6-018, T4-6-019, T4-6-027, T4-6-029, T4-6-033, T4-6-046</t>
  </si>
  <si>
    <t xml:space="preserve">H6.4</t>
  </si>
  <si>
    <t xml:space="preserve">By the end of level 6, students can explain how the Silk Road and sea routes carried goods, people and ideas between Africa, Asia and Europe.</t>
  </si>
  <si>
    <t xml:space="preserve">WHFUA Big Era 4, Landscape 4.5; NCERT Class 10, The Making of a Global World</t>
  </si>
  <si>
    <t xml:space="preserve">T4-6-032, T4-6-035</t>
  </si>
  <si>
    <t xml:space="preserve">H6.5</t>
  </si>
  <si>
    <t xml:space="preserve">By the end of level 6, students can explain how farming, iron working and the Bantu languages, to which Swahili belongs, spread across much of Africa over about 3,000 years.</t>
  </si>
  <si>
    <t xml:space="preserve">By the end of level 6, students can name ancient inventions and ideas and where they were used, such as paper in China, coins in Lydia, China and India, proofs in Greek geometry, and zero, which the Maya and Indian mathematicians each developed.</t>
  </si>
  <si>
    <t xml:space="preserve">WHFUA key theme Science, Technology, and the Environment; NCERT Exploring Society Grade 7, the Gupta era</t>
  </si>
  <si>
    <t xml:space="preserve">T4-6-025, T4-6-030, T4-6-031, T4-6-036</t>
  </si>
  <si>
    <t xml:space="preserve">By the end of level 6, students can recognise one key person, place or event from each of six ages, the first cities, Greece and Rome, the medieval world, the age of voyages, the age of revolutions and the twentieth century, and put them in order.</t>
  </si>
  <si>
    <t xml:space="preserve">Cambridge Primary Humanities 0065, Stages 4-6, Past strand; NCHS Historical Thinking Standard 1, Chronological Thinking; WHFUA Panorama units</t>
  </si>
  <si>
    <t xml:space="preserve">T4-6-009, T4-6-010, T4-6-017, T4-6-022, T4-6-023, T4-6-024, T4-6-025, T4-6-026, T4-6-027, T4-6-028, T4-6-029, T4-6-030, T4-6-031, T4-6-032, T4-6-037, T4-6-039, T4-6-040, T4-6-041, T4-6-042, T4-6-043, T4-6-044, T4-6-045</t>
  </si>
  <si>
    <t xml:space="preserve">H6.8</t>
  </si>
  <si>
    <t xml:space="preserve">By the end of level 6, students can explain what a colony is, and name an empire that ruled far-away lands and a country that won its freedom from it.</t>
  </si>
  <si>
    <t xml:space="preserve">WHFUA Big Era 7, Landscape 7.5; Tanzania HTM primary 2023, Std V and VI</t>
  </si>
  <si>
    <t xml:space="preserve">T4-6-041, T4-6-042, T4-6-043, T4-6-044, T4-6-045</t>
  </si>
  <si>
    <t xml:space="preserve">By the end of level 7, students can describe how Islam spread by conquest and by trade, and name centres of learning such as Baghdad, Cordoba and Timbuktu.</t>
  </si>
  <si>
    <t xml:space="preserve">NCHS World History Era 4, Standard 2; WHFUA Big Era 5, Landscape 5.2; England National Curriculum 2013, KS2, early Islamic civilisation</t>
  </si>
  <si>
    <t xml:space="preserve">T7-9-002, T7-9-003, T7-9-018</t>
  </si>
  <si>
    <t xml:space="preserve">H7.2</t>
  </si>
  <si>
    <t xml:space="preserve">By the end of level 7, students can compare the lives of a lord, a nun or monk, a townswoman or townsman and a serf in medieval Europe.</t>
  </si>
  <si>
    <t xml:space="preserve">NCHS World History Era 5, Standard 2; NCERT Class 11, The Three Orders; Bhutan History Framework 2022, Class VII, feudalism</t>
  </si>
  <si>
    <t xml:space="preserve">By the end of level 7, students can name African states of 500 to 1500, such as Ghana, Mali, Great Zimbabwe, the Swahili towns, Benin and Ethiopia, and say what made them rich, such as gold, salt, ivory and trade carried by camel caravans and monsoon winds.</t>
  </si>
  <si>
    <t xml:space="preserve">NCHS World History Era 5, Standard 4; WHFUA Big Era 5, Landscape 5.3; AP World History: Modern Units 1 and 2; Tanzania History O-level 2023, Form II; Kenya KICD Junior School Grade 7</t>
  </si>
  <si>
    <t xml:space="preserve">T7-9-012, T7-9-013, T7-9-014, T7-9-015, T7-9-016</t>
  </si>
  <si>
    <t xml:space="preserve">By the end of level 7, students can identify inventions of Tang and Song China and Korea, such as printing, gunpowder, the compass and paper money, and how they spread.</t>
  </si>
  <si>
    <t xml:space="preserve">T7-9-007, T7-9-008</t>
  </si>
  <si>
    <t xml:space="preserve">H7.5</t>
  </si>
  <si>
    <t xml:space="preserve">By the end of level 7, students can explain how the Mongol empire linked Asia and Europe, and how the Black Death spread along the same routes.</t>
  </si>
  <si>
    <t xml:space="preserve">NCHS World History Era 5, Standards 3 and 5; WHFUA Big Era 5, Landscapes 5.4 and 5.5</t>
  </si>
  <si>
    <t xml:space="preserve">T7-9-010, T7-9-011</t>
  </si>
  <si>
    <t xml:space="preserve">By the end of level 7, students can describe societies of Southeast Asia, the Pacific and the Americas, such as Angkor, Polynesian voyagers, the Maya, Cahokia and the Inca.</t>
  </si>
  <si>
    <t xml:space="preserve">NCHS World History Era 4, 5B and 6A, and Era 5, 1B and Standard 6; WHFUA Big Era 5, Landscape 5.6; AP World History: Modern Unit 1</t>
  </si>
  <si>
    <t xml:space="preserve">T7-9-019, T7-9-020, T7-9-021, T7-9-022, T7-9-023, T7-9-024</t>
  </si>
  <si>
    <t xml:space="preserve">H7.7</t>
  </si>
  <si>
    <t xml:space="preserve">By the end of level 7, students can say how we know about states that left few written records, such as from coins at Kilwa, the stone walls of Great Zimbabwe and the songs of griots.</t>
  </si>
  <si>
    <t xml:space="preserve">T7-9-012, T7-9-013, T7-9-014, T7-9-071</t>
  </si>
  <si>
    <t xml:space="preserve">By the end of level 7, students can explain how Byzantium and the Crusades connected and divided Christians, Muslims and Jews, and that books, numbers and ideas reached Latin Europe mostly through Spain, Sicily and Byzantium.</t>
  </si>
  <si>
    <t xml:space="preserve">NCHS World History Era 4, 2C, and Era 5, 2B; WHFUA Big Era 5, Landscape 5.3</t>
  </si>
  <si>
    <t xml:space="preserve">T7-9-001, T7-9-006, T7-9-025</t>
  </si>
  <si>
    <t xml:space="preserve">H8.1</t>
  </si>
  <si>
    <t xml:space="preserve">By the end of level 8, students can describe the great sea voyages of about 1400 to 1600, from Zheng He to Vasco da Gama and Magellan, and what each changed.</t>
  </si>
  <si>
    <t xml:space="preserve">NCHS World History Era 6, Standard 1; WHFUA Big Era 6, Landscape 6.1; Bhutan History Framework 2022, Class X</t>
  </si>
  <si>
    <t xml:space="preserve">By the end of level 8, students can explain the Columbian Exchange with examples of crops, animals and diseases that crossed the oceans.</t>
  </si>
  <si>
    <t xml:space="preserve">H8.3</t>
  </si>
  <si>
    <t xml:space="preserve">By the end of level 8, students can describe how the Atlantic and Indian Ocean slave trades worked, where captives came from and how they resisted.</t>
  </si>
  <si>
    <t xml:space="preserve">NCHS World History Era 6, Standard 4; BNCC EF07HI16; Tanzania History O-level 2023, Form II</t>
  </si>
  <si>
    <t xml:space="preserve">T7-9-032, T7-9-033</t>
  </si>
  <si>
    <t xml:space="preserve">By the end of level 8, students can identify the differences between limited and absolute monarchies, using England after 1689 and France under Louis XIV.</t>
  </si>
  <si>
    <t xml:space="preserve">NCHS World History Era 6, Standard 2; BNCC 7th year, absolute monarchies; Bhutan History Framework 2022, Class VII</t>
  </si>
  <si>
    <t xml:space="preserve">By the end of level 8, students can name the Ottoman, Safavid, Mughal and Qing empires and compare how they ruled many peoples and faiths.</t>
  </si>
  <si>
    <t xml:space="preserve">NCHS World History Era 6, Standard 3; WHFUA Big Era 6, Landscape 6.3; AP World History: Modern Unit 3</t>
  </si>
  <si>
    <t xml:space="preserve">T7-9-035, T7-9-036, T7-9-037, T7-9-038, T7-9-039</t>
  </si>
  <si>
    <t xml:space="preserve">H8.6</t>
  </si>
  <si>
    <t xml:space="preserve">By the end of level 8, students can explain how printing helped the Renaissance, the Reformation and the Scientific Revolution to spread.</t>
  </si>
  <si>
    <t xml:space="preserve">NCHS World History Era 6, Standard 2; WHFUA Big Era 6, Landscape 6.6; NCERT Class 10, Print Culture</t>
  </si>
  <si>
    <t xml:space="preserve">T7-9-027, T7-9-028, T7-9-043, T7-9-045</t>
  </si>
  <si>
    <t xml:space="preserve">By the end of level 8, students can describe how European conquest and trading empires changed life for Indigenous Americans and for peoples on the coasts of Africa and Asia.</t>
  </si>
  <si>
    <t xml:space="preserve">NCHS World History Era 6, Standards 1 and 4; AP World History: Modern Unit 4; BNCC 7th year; NCERT Grade 8 Part I, chapter 4</t>
  </si>
  <si>
    <t xml:space="preserve">T7-9-024, T7-9-031, T7-9-042, T7-9-046</t>
  </si>
  <si>
    <t xml:space="preserve">By the end of level 8, students can describe states that kept or built their own power, such as Kongo, Ndongo under Queen Nzinga, Tokugawa Japan and Bhutan under the Zhabdrung.</t>
  </si>
  <si>
    <t xml:space="preserve">NCHS World History Era 6, Standards 4 and 5; Bhutan Social Studies 2025, Class V; Kenya KICD Junior School Grade 7, Kongo</t>
  </si>
  <si>
    <t xml:space="preserve">T7-9-016, T7-9-034, T7-9-040, T7-9-041</t>
  </si>
  <si>
    <t xml:space="preserve">H9.1</t>
  </si>
  <si>
    <t xml:space="preserve">By the end of level 9, students can explain causes and results of the American, French, Haitian and Latin American revolutions, and compare whose freedom each won.</t>
  </si>
  <si>
    <t xml:space="preserve">NCHS World History Era 7, Standard 1; WHFUA Big Era 7, Landscape 7.2; BNCC EF08HI04 and EF08HI10</t>
  </si>
  <si>
    <t xml:space="preserve">T7-9-047, T7-9-048, T7-9-049, T7-9-050</t>
  </si>
  <si>
    <t xml:space="preserve">H9.2</t>
  </si>
  <si>
    <t xml:space="preserve">By the end of level 9, students can describe how the Industrial Revolution changed work, towns, transport and children's lives, first in Britain and then in countries such as Japan.</t>
  </si>
  <si>
    <t xml:space="preserve">NCHS World History Era 7, Standard 2; WHFUA Big Era 7, Landscape 7.1; Tanzania History A-level 2023, Form V</t>
  </si>
  <si>
    <t xml:space="preserve">T7-9-052, T7-9-053, T7-9-060</t>
  </si>
  <si>
    <t xml:space="preserve">By the end of level 9, students can explain why European powers took colonies in Africa and Asia in the 1800s, and name resistance such as Adwa and the Maji Maji war.</t>
  </si>
  <si>
    <t xml:space="preserve">NCHS World History Era 7, Standard 5; WHFUA Big Era 7, Landscape 7.5; Tanzania HTM Form II 2023</t>
  </si>
  <si>
    <t xml:space="preserve">T7-9-046, T7-9-058, T7-9-059, T7-9-061, T7-9-062, T7-9-064</t>
  </si>
  <si>
    <t xml:space="preserve">By the end of level 9, students can describe how the slave trade, slavery and serfdom were ended in different countries, and name enslaved people and campaigners who fought to end them.</t>
  </si>
  <si>
    <t xml:space="preserve">T7-9-033, T7-9-051, T7-9-056</t>
  </si>
  <si>
    <t xml:space="preserve">By the end of level 9, students can explain what nationalism and a nation state are, with examples such as Greek independence and the Indian National Congress.</t>
  </si>
  <si>
    <t xml:space="preserve">NCHS World History Era 7, Standard 4; WHFUA Big Era 7, Landscape 7.6; BNCC 8th year</t>
  </si>
  <si>
    <t xml:space="preserve">T7-9-051, T7-9-057, T7-9-058</t>
  </si>
  <si>
    <t xml:space="preserve">By the end of level 9, students can name thinkers, scientists and artists of this age, such as Wollstonecraft, Ram Mohan Roy, Darwin, Savitribai Phule, Marx and Hokusai, and what each changed.</t>
  </si>
  <si>
    <t xml:space="preserve">NCHS World History Era 7, 4B, 4C and 5A; WHFUA Big Era 7, Landscape 7.3; Bhutan History Framework 2022, Class XI</t>
  </si>
  <si>
    <t xml:space="preserve">T7-9-047, T7-9-053, T7-9-054, T7-9-055, T7-9-065</t>
  </si>
  <si>
    <t xml:space="preserve">By the end of level 9, students can give one main cause and one main result of a key event from any period, such as the invention of writing or the fall of the Berlin Wall, and name the kind of source that tells us about it.</t>
  </si>
  <si>
    <t xml:space="preserve">NCHS Historical Thinking Standards 2 and 3, sources and cause-and-effect relationships; Cambridge Lower Secondary Humanities 0839, 789PTsk.04</t>
  </si>
  <si>
    <t xml:space="preserve">T7-9-001, T7-9-002, T7-9-003, T7-9-004, T7-9-005, T7-9-006, T7-9-009, T7-9-010, T7-9-011, T7-9-012, T7-9-013, T7-9-017, T7-9-021, T7-9-023, T7-9-024, T7-9-026, T7-9-027, T7-9-028, T7-9-029, T7-9-032, T7-9-035, T7-9-037, T7-9-043, T7-9-045, T7-9-048, T7-9-049, T7-9-050, T7-9-052, T7-9-054, T7-9-055, T7-9-060, T7-9-062, T7-9-066, T7-9-067, T7-9-068, T7-9-069, T7-9-070, T7-9-071, T7-9-072</t>
  </si>
  <si>
    <t xml:space="preserve">By the end of level 9, students can explain why millions moved to new lands in the 1800s, such as Indian workers to East Africa, and give one push and one pull reason.</t>
  </si>
  <si>
    <t xml:space="preserve">WHFUA Big Era 7, Landscape 7.4; NCERT Class 10, indentured labour</t>
  </si>
  <si>
    <t xml:space="preserve">H10.1</t>
  </si>
  <si>
    <t xml:space="preserve">By the end of level 10, students can explain why revolutions broke out across Europe in 1848 and how Italy and Germany became united nation states.</t>
  </si>
  <si>
    <t xml:space="preserve">By the end of level 10, students can explain why the United States fought a civil war and what the war and Reconstruction changed for enslaved people.</t>
  </si>
  <si>
    <t xml:space="preserve">By the end of level 10, students can compare direct, indirect and private colonial rule, using Senegal, Nigeria and the Congo Free State.</t>
  </si>
  <si>
    <t xml:space="preserve">Cambridge IGCSE 0470 Option A, key question 5; Cambridge 9489 AS key question 7.1; Kenya KICD Senior School Grade 11</t>
  </si>
  <si>
    <t xml:space="preserve">T10-U-033, T10-U-040</t>
  </si>
  <si>
    <t xml:space="preserve">H10.4</t>
  </si>
  <si>
    <t xml:space="preserve">By the end of level 10, students can explain the main causes of the First World War and how it was also fought in Africa, the Middle East and Asia.</t>
  </si>
  <si>
    <t xml:space="preserve">Cambridge IGCSE 0470 Option A, key question 6, and depth study A, key question 2; NCHS World History Era 8, Standard 2</t>
  </si>
  <si>
    <t xml:space="preserve">T10-U-017, T10-U-018, T10-U-020, T10-U-034</t>
  </si>
  <si>
    <t xml:space="preserve">By the end of level 10, students can describe the peace of 1919 and the League of Nations, and why the League failed in Manchuria and Abyssinia.</t>
  </si>
  <si>
    <t xml:space="preserve">Cambridge IGCSE 0470 Option B, key questions 1 and 2; Tanzania History A-level 2023, Form VI</t>
  </si>
  <si>
    <t xml:space="preserve">T10-U-017, T10-U-035, T10-U-038</t>
  </si>
  <si>
    <t xml:space="preserve">By the end of level 10, students can explain how dictators took power in Russia, Italy and Germany, and how the crash of 1929 helped extreme parties win support.</t>
  </si>
  <si>
    <t xml:space="preserve">Cambridge IGCSE 0470 depth studies B, C and D; Cambridge 9489 Paper 4 European option</t>
  </si>
  <si>
    <t xml:space="preserve">T10-U-036, T10-U-037, T10-U-038</t>
  </si>
  <si>
    <t xml:space="preserve">By the end of level 10, students can describe how peoples in Asia, Africa and Latin America pushed for land, rights and self-rule from 1900 to 1945, such as in Mexico, China, India and Nigeria.</t>
  </si>
  <si>
    <t xml:space="preserve">WHFUA Big Era 8, Landscape 8.4; NCHS World History Era 8, 1B and 3B; Tanzania History O-level 2023, Form III</t>
  </si>
  <si>
    <t xml:space="preserve">T10-U-022, T10-U-039, T10-U-040, T10-U-041, T10-U-042</t>
  </si>
  <si>
    <t xml:space="preserve">H10.8</t>
  </si>
  <si>
    <t xml:space="preserve">By the end of level 10, students can describe turning points of the Second World War in Europe, Africa and Asia, and the Holocaust as the planned murder of about six million Jews, alongside the Nazi murder of Roma, disabled people and others.</t>
  </si>
  <si>
    <t xml:space="preserve">Cambridge IGCSE 0470 depth study E, and depth study B for the Holocaust; Cambridge 9489 Paper 3, The Holocaust; NCHS World History Era 8, 4B; Kenya KICD Senior School Grade 10, global wars and Africa; England National Curriculum 2013, KS3, Holocaust statutory</t>
  </si>
  <si>
    <t xml:space="preserve">T10-U-021, T10-U-034, T10-U-044</t>
  </si>
  <si>
    <t xml:space="preserve">By the end of level 11, students can explain why the USA and the Soviet Union became rivals, describe crises such as Berlin, Korea, Cuba and Vietnam, and say how the Cold War ended.</t>
  </si>
  <si>
    <t xml:space="preserve">Cambridge IGCSE 0470 Option B, key questions 4-6; WHFUA Big Era 9, Landscape 9.2</t>
  </si>
  <si>
    <t xml:space="preserve">T10-U-025, T10-U-029, T10-U-045, T10-U-051</t>
  </si>
  <si>
    <t xml:space="preserve">H11.2</t>
  </si>
  <si>
    <t xml:space="preserve">By the end of level 11, students can describe how countries in Asia, Africa and the Middle East won independence after 1945, and name leaders such as Nehru, Sukarno, Nkrumah and Nyerere.</t>
  </si>
  <si>
    <t xml:space="preserve">NCHS World History Era 9, 1C; Cambridge 9489 Paper 4, key question 9.4; BNCC EF09HI31</t>
  </si>
  <si>
    <t xml:space="preserve">T10-U-022, T10-U-026, T10-U-046, T10-U-048, T10-U-050</t>
  </si>
  <si>
    <t xml:space="preserve">By the end of level 11, students can describe the path a country chose after 1945, such as non-alignment in India, ujamaa in Tanzania or Gross National Happiness in Bhutan, and one problem it met.</t>
  </si>
  <si>
    <t xml:space="preserve">NCHS World History Era 9, 1C; Kenya KICD Senior School Grade 11, Non-Aligned Movement; Tanzania HTM primary 2023, Std VI; Bhutan History Framework 2022, Class X</t>
  </si>
  <si>
    <t xml:space="preserve">T10-U-039, T10-U-047, T10-U-048, T10-U-049, T10-U-055, T10-U-058</t>
  </si>
  <si>
    <t xml:space="preserve">H11.4</t>
  </si>
  <si>
    <t xml:space="preserve">By the end of level 11, students can describe the work of the United Nations and movements for equal rights, such as civil rights in the USA, the fight against apartheid and women's movements.</t>
  </si>
  <si>
    <t xml:space="preserve">NCHS World History Era 9, 1A and Standard 2; Cambridge 9489 Paper 4, key questions 5.3 and 8.3; Tanzania History O-level 2023, Form IV</t>
  </si>
  <si>
    <t xml:space="preserve">T10-U-024, T10-U-027, T10-U-028, T10-U-043, T10-U-051</t>
  </si>
  <si>
    <t xml:space="preserve">By the end of level 11, students can describe how vaccines, new seeds, space flight, computers and mobile money changed life after 1945, with one benefit and one problem.</t>
  </si>
  <si>
    <t xml:space="preserve">T10-U-023, T10-U-029, T10-U-030, T10-U-052, T10-U-053</t>
  </si>
  <si>
    <t xml:space="preserve">By the end of level 11, students can describe how the world economy became more connected, such as container ships, China's reforms after 1978 and falling extreme poverty.</t>
  </si>
  <si>
    <t xml:space="preserve">WHFUA Big Era 9, Landscapes 9.1 and 9.4; AP World History: Modern Unit 9; Tanzania HTM Form IV 2023</t>
  </si>
  <si>
    <t xml:space="preserve">T10-U-030, T10-U-054, T10-U-055, T10-U-059, T10-U-062</t>
  </si>
  <si>
    <t xml:space="preserve">H11.7</t>
  </si>
  <si>
    <t xml:space="preserve">By the end of level 11, students can describe how human activity changed the climate and environment, and name shared efforts such as the Montreal Protocol and the Paris Agreement.</t>
  </si>
  <si>
    <t xml:space="preserve">H11.8</t>
  </si>
  <si>
    <t xml:space="preserve">By the end of level 11, students can describe conflicts after 1945 outside the Cold War, such as in the Middle East, Rwanda and former Yugoslavia, and efforts to end them.</t>
  </si>
  <si>
    <t xml:space="preserve">NCHS World History Era 9, Standard 2; Tanzania History A-level 2023, Form VI, Camp David, Oslo, Kosovo, Rwanda; BNCC 9th year, Palestine</t>
  </si>
  <si>
    <t xml:space="preserve">T10-U-050, T10-U-057, T10-U-059, T10-U-062</t>
  </si>
  <si>
    <t xml:space="preserve">12</t>
  </si>
  <si>
    <t xml:space="preserve">H12.1</t>
  </si>
  <si>
    <t xml:space="preserve">By the end of level 12, students can tell long-term causes from short-term triggers, and short-lived results from lasting ones, for key events from every era, such as the fall of Rome or the end of apartheid.</t>
  </si>
  <si>
    <t xml:space="preserve">Cambridge 9489 AO2, cause and consequence; NCHS Historical Thinking Standard 3; NCHS World History Across the Eras</t>
  </si>
  <si>
    <t xml:space="preserve">T10-U-001, T10-U-010, T10-U-020, T10-U-021, T10-U-025</t>
  </si>
  <si>
    <t xml:space="preserve">H12.2</t>
  </si>
  <si>
    <t xml:space="preserve">By the end of level 12, students can compare how societies dealt with the same problem, such as ruling a large empire or living with many faiths.</t>
  </si>
  <si>
    <t xml:space="preserve">Cambridge 9489 key concept similarity and difference; AP World History: Modern reasoning process Comparison; NCHS World History Era 4, 2B</t>
  </si>
  <si>
    <t xml:space="preserve">T10-U-003, T10-U-005, T10-U-006, T10-U-008, T10-U-012, T10-U-014, T10-U-031, T10-U-046, T10-U-050, T10-U-051, T10-U-062</t>
  </si>
  <si>
    <t xml:space="preserve">H12.3</t>
  </si>
  <si>
    <t xml:space="preserve">By the end of level 12, students can identify what changed and what stayed the same over long periods, such as trade routes, religions, work or women's rights.</t>
  </si>
  <si>
    <t xml:space="preserve">Cambridge 9489 key concept change and continuity; AP World History: Modern reasoning process Continuity and Change</t>
  </si>
  <si>
    <t xml:space="preserve">T10-U-004, T10-U-009, T10-U-011, T10-U-016, T10-U-026, T10-U-030, T10-U-061, T10-U-063</t>
  </si>
  <si>
    <t xml:space="preserve">H12.4</t>
  </si>
  <si>
    <t xml:space="preserve">By the end of level 12, students can explain the significance of a person or event: why it mattered then and why it is still remembered.</t>
  </si>
  <si>
    <t xml:space="preserve">Cambridge 9489 key concept significance; Cambridge IGCSE 0470 Component 3, significance</t>
  </si>
  <si>
    <t xml:space="preserve">T10-U-002, T10-U-015, T10-U-017, T10-U-022, T10-U-023, T10-U-027, T10-U-028, T10-U-029, T10-U-042, T10-U-049, T10-U-058, T10-U-063</t>
  </si>
  <si>
    <t xml:space="preserve">H12.5</t>
  </si>
  <si>
    <t xml:space="preserve">By the end of level 12, students can explain how the French Revolution moved from reform in 1789 to the Terror and then to Napoleon, and why the Russian tsar fell in 1917.</t>
  </si>
  <si>
    <t xml:space="preserve">Cambridge 9489 AS European option, key question 1.1, France 1774-1814 and Russia 1881-1924</t>
  </si>
  <si>
    <t xml:space="preserve">T10-U-013, T10-U-018, T10-U-036</t>
  </si>
  <si>
    <t xml:space="preserve">H12.6</t>
  </si>
  <si>
    <t xml:space="preserve">By the end of level 12, students can compare why some responses to imperialism after 1870 succeeded and others failed, such as Ethiopia at Adwa, Meiji Japan, the Zulu kingdom and the Maji Maji war.</t>
  </si>
  <si>
    <t xml:space="preserve">Cambridge 9489 AS International option, key questions 7.1 and 7.3; Tanzania HTM Form II 2023, resistance to colonial invasion</t>
  </si>
  <si>
    <t xml:space="preserve">T10-U-018, T10-U-019</t>
  </si>
  <si>
    <t xml:space="preserve">H12.7</t>
  </si>
  <si>
    <t xml:space="preserve">By the end of level 12, students can name the type of source behind a past event and one limit of it, such as a king's inscription or a chronicle by the winners.</t>
  </si>
  <si>
    <t xml:space="preserve">Cambridge 9489 AO3; NCHS Historical Thinking Standards 2 and 4, identify the source and test its credibility; Bhutan History Framework 2022, Class XI</t>
  </si>
  <si>
    <t xml:space="preserve">T10-U-001, T10-U-007, T10-U-021, T10-U-060</t>
  </si>
  <si>
    <t xml:space="preserve">H12.8</t>
  </si>
  <si>
    <t xml:space="preserve">By the end of level 12, students can explain how ideas of rights grew from the declarations of the 1770s and 1780s, through campaigns against slavery and empire, to the Universal Declaration of 1948, which drafters from India, China, Lebanon and Latin America helped shape, and who was left out.</t>
  </si>
  <si>
    <t xml:space="preserve">Cambridge 9489 AS key question 1.1; NCHS World History Era 9, Standard 2; Kenya KICD Senior School Grade 11</t>
  </si>
  <si>
    <t xml:space="preserve">T10-U-013, T10-U-024, T10-U-043</t>
  </si>
  <si>
    <t xml:space="preserve">HU.1</t>
  </si>
  <si>
    <t xml:space="preserve">By the end of university level, students can recognise that historians interpret events differently, and name a debate, such as blame for the First World War or whether Rome fell or slowly changed.</t>
  </si>
  <si>
    <t xml:space="preserve">Cambridge 9489 AO4 and Paper 3; AP World History: Modern Skill 3, Claims and Evidence in Sources; NCHS Historical Thinking Standard 3, debates among historians; IB DP AO3, reference only</t>
  </si>
  <si>
    <t xml:space="preserve">T10-U-003, T10-U-006, T10-U-010, T10-U-011, T10-U-013, T10-U-017, T10-U-018, T10-U-019, T10-U-020, T10-U-021, T10-U-022, T10-U-025, T10-U-026, T10-U-027, T10-U-030, T10-U-063</t>
  </si>
  <si>
    <t xml:space="preserve">HU.2</t>
  </si>
  <si>
    <t xml:space="preserve">By the end of university level, students can say how reliable a type of evidence is, such as an inscription, a traveller's account, an oral tradition or a later legend, and why.</t>
  </si>
  <si>
    <t xml:space="preserve">Cambridge 9489 AO3; AP World History: Modern Skill 2, Sourcing and Situation; NCHS Historical Thinking Standard 4</t>
  </si>
  <si>
    <t xml:space="preserve">T10-U-001, T10-U-002, T10-U-005, T10-U-007, T10-U-009, T10-U-010, T10-U-024, T10-U-029, T10-U-051, T10-U-060</t>
  </si>
  <si>
    <t xml:space="preserve">HU.3</t>
  </si>
  <si>
    <t xml:space="preserve">By the end of university level, students can identify myths about famous people and events and say what the evidence shows instead.</t>
  </si>
  <si>
    <t xml:space="preserve">NCHS Historical Thinking Standard 3; AP World History: Modern Skill 3, Claims and Evidence in Sources</t>
  </si>
  <si>
    <t xml:space="preserve">T10-U-002, T10-U-009, T10-U-015, T10-U-028</t>
  </si>
  <si>
    <t xml:space="preserve">HU.4</t>
  </si>
  <si>
    <t xml:space="preserve">By the end of university level, students can explain long-term patterns, such as the spread of farming, growing exchange networks, why industry began in Britain and the great acceleration after 1945.</t>
  </si>
  <si>
    <t xml:space="preserve">NCHS World History Across the Eras; WHFUA Big Era 8, Landscape 8.7, and Big Era 9, Landscape 9.6; AP World History: Modern Units 2, 4, 5 and 9</t>
  </si>
  <si>
    <t xml:space="preserve">T10-U-008, T10-U-012, T10-U-014, T10-U-056, T10-U-061</t>
  </si>
  <si>
    <t xml:space="preserve">HU.5</t>
  </si>
  <si>
    <t xml:space="preserve">By the end of university level, students can explain how historians' questions widened to include ordinary people, women, colonised peoples and the environment.</t>
  </si>
  <si>
    <t xml:space="preserve">Cambridge 9489 AO4; Bhutan History Framework 2022, Class XII, schools of historiography</t>
  </si>
  <si>
    <t xml:space="preserve">T10-U-007, T10-U-016, T10-U-060</t>
  </si>
  <si>
    <t xml:space="preserve">HU.6</t>
  </si>
  <si>
    <t xml:space="preserve">By the end of university level, students can explain how records, testimony and places show what happened in the Holocaust and in the 1994 genocide against the Tutsi in Rwanda, and why denial goes against the evidence.</t>
  </si>
  <si>
    <t xml:space="preserve">Cambridge 9489 Paper 3, The Holocaust; NCHS World History Era 8, 4B; Tanzania History A-level 2023, Form VI</t>
  </si>
  <si>
    <t xml:space="preserve">T10-U-044, T10-U-057</t>
  </si>
  <si>
    <t xml:space="preserve">HU.7</t>
  </si>
  <si>
    <t xml:space="preserve">By the end of university level, students can explain why a discovery is usually the work of many people and earlier ideas from several regions, not of one genius.</t>
  </si>
  <si>
    <t xml:space="preserve">NCHS Historical Thinking Standard 3, multiple causation and the importance of the individual; WHFUA key theme Science, Technology, and the Environment</t>
  </si>
  <si>
    <t xml:space="preserve">T10-U-006, T10-U-011, T10-U-015, T10-U-023</t>
  </si>
  <si>
    <t xml:space="preserve">HU.8</t>
  </si>
  <si>
    <t xml:space="preserve">By the end of university level, students can explain when, by whom and why the sources about a religious founder were written, and what historians can and cannot know from them.</t>
  </si>
  <si>
    <t xml:space="preserve">AP World History: Modern Skill 2, Sourcing and Situation; Cambridge 9489 AO3; Tanzania History A-level 2023, Form V</t>
  </si>
  <si>
    <t xml:space="preserve">Role</t>
  </si>
  <si>
    <t xml:space="preserve">Standard</t>
  </si>
  <si>
    <t xml:space="preserve">Code and version</t>
  </si>
  <si>
    <t xml:space="preserve">Used for</t>
  </si>
  <si>
    <t xml:space="preserve">Link</t>
  </si>
  <si>
    <t xml:space="preserve">Primary: content spine</t>
  </si>
  <si>
    <t xml:space="preserve">World History for Us All, Big Eras 1-9 (UCLA Public History Initiative)</t>
  </si>
  <si>
    <t xml:space="preserve">Big Eras 1-9</t>
  </si>
  <si>
    <t xml:space="preserve">1-U</t>
  </si>
  <si>
    <t xml:space="preserve">Global, chronological spine for every level, including everything before 1774 that Cambridge does not examine.</t>
  </si>
  <si>
    <t xml:space="preserve">https://whfua.history.ucla.edu/bigeras.php</t>
  </si>
  <si>
    <t xml:space="preserve">Primary: outcome wording</t>
  </si>
  <si>
    <t xml:space="preserve">National Standards for History, Basic Edition (NCHS, UCLA)</t>
  </si>
  <si>
    <t xml:space="preserve">1996; K-4 standards and World History Eras 1-9 for grades 5-12</t>
  </si>
  <si>
    <t xml:space="preserve">1-12</t>
  </si>
  <si>
    <t xml:space="preserve">Outcome wording with grade bands: K-4 standards for levels 1-4 and world-history Eras 1-9 for grades 5-12; Historical Thinking Standards for skills.</t>
  </si>
  <si>
    <t xml:space="preserve">https://phi.history.ucla.edu/nchs/world-history-content-standards/</t>
  </si>
  <si>
    <t xml:space="preserve">Primary: exam standard</t>
  </si>
  <si>
    <t xml:space="preserve">Cambridge IGCSE History (same content: IGCSE 9-1 History 0977, O Level History 2147)</t>
  </si>
  <si>
    <t xml:space="preserve">0470, syllabus 2027-2028 and 2029-2030</t>
  </si>
  <si>
    <t xml:space="preserve">10-11</t>
  </si>
  <si>
    <t xml:space="preserve">Named exam standard for levels 10-11: content from 1848 to about 1989, Option A nineteenth century, Option B international relations since 1919, depth studies A-E. Assessment objectives AO1 and AO2.</t>
  </si>
  <si>
    <t xml:space="preserve">https://www.cambridgeinternational.org/programmes-and-qualifications/cambridge-igcse-history-0470/</t>
  </si>
  <si>
    <t xml:space="preserve">Cambridge International AS &amp; A Level History</t>
  </si>
  <si>
    <t xml:space="preserve">9489, syllabus 2027-2029, version 2</t>
  </si>
  <si>
    <t xml:space="preserve">12-U</t>
  </si>
  <si>
    <t xml:space="preserve">Named exam standard for level 12, with Papers 3 and 4 at U: content and key concepts from 1774 to 1994.</t>
  </si>
  <si>
    <t xml:space="preserve">https://www.cambridgeinternational.org/programmes-and-qualifications/cambridge-international-as-and-a-level-history-9489/</t>
  </si>
  <si>
    <t xml:space="preserve">Primary: university benchmark</t>
  </si>
  <si>
    <t xml:space="preserve">AP World History: Modern (College Board)</t>
  </si>
  <si>
    <t xml:space="preserve">Course and Exam Description, effective fall 2026</t>
  </si>
  <si>
    <t xml:space="preserve">University-equivalent survey of world history from about 1200 to the present; the College Board designs it as the equivalent of an introductory college course.</t>
  </si>
  <si>
    <t xml:space="preserve">https://apcentral.collegeboard.org/courses/ap-world-history</t>
  </si>
  <si>
    <t xml:space="preserve">Supporting</t>
  </si>
  <si>
    <t xml:space="preserve">Cambridge Primary Humanities, Past strand</t>
  </si>
  <si>
    <t xml:space="preserve">0065, Stages 1-6</t>
  </si>
  <si>
    <t xml:space="preserve">1-6</t>
  </si>
  <si>
    <t xml:space="preserve">Supporting wording for the history skills outcomes for levels 1-6: time and chronology, change, how we know about the past. Cambridge prescribes no history content at this stage.</t>
  </si>
  <si>
    <t xml:space="preserve">https://www.cambridgeinternational.org/programmes-and-qualifications/cambridge-primary/curriculum/humanities/</t>
  </si>
  <si>
    <t xml:space="preserve">Cambridge Lower Secondary Humanities, Past strand</t>
  </si>
  <si>
    <t xml:space="preserve">0839, Stages 7-9</t>
  </si>
  <si>
    <t xml:space="preserve">7-9</t>
  </si>
  <si>
    <t xml:space="preserve">Supporting wording for the history skills outcomes for levels 7-9. No prescribed content.</t>
  </si>
  <si>
    <t xml:space="preserve">https://www.cambridgeinternational.org/programmes-and-qualifications/cambridge-lower-secondary/curriculum/humanities/</t>
  </si>
  <si>
    <t xml:space="preserve">Reference</t>
  </si>
  <si>
    <t xml:space="preserve">IB Diploma Programme History</t>
  </si>
  <si>
    <t xml:space="preserve">Guide for first assessment 2028</t>
  </si>
  <si>
    <t xml:space="preserve">11-12</t>
  </si>
  <si>
    <t xml:space="preserve">Cross-check of regional balance at upper secondary. Cited as a reference only; the cards are not endorsed by the IB.</t>
  </si>
  <si>
    <t xml:space="preserve">https://ibo.org/programmes/diploma-programme/curriculum/individuals-and-societies/history/</t>
  </si>
  <si>
    <t xml:space="preserve">Relevance check</t>
  </si>
  <si>
    <t xml:space="preserve">Bhutan History Curriculum Framework, Classes VII-XII</t>
  </si>
  <si>
    <t xml:space="preserve">Department of School Education, 2022</t>
  </si>
  <si>
    <t xml:space="preserve">7-12</t>
  </si>
  <si>
    <t xml:space="preserve">World History strand and topic weights for Bhutanese pupils; Bhutan has aligned its curriculum with Cambridge since 2025.</t>
  </si>
  <si>
    <t xml:space="preserve">https://rec.gov.bt/download/56/curriculum-frameworks/5365/history-curriculum-framework-2022.pdf</t>
  </si>
  <si>
    <t xml:space="preserve">Tanzania History syllabi, Form I-IV and Form V-VI</t>
  </si>
  <si>
    <t xml:space="preserve">Tanzania Institute of Education, 2023</t>
  </si>
  <si>
    <t xml:space="preserve">Africa-centred topics and competences for Tanzanian pupils.</t>
  </si>
  <si>
    <t xml:space="preserve">https://www.tie.go.tz/publications/syllabus-for-lower-secondary-academics</t>
  </si>
  <si>
    <t xml:space="preserve">India NCERT, Kenya CBC, Brazil BNCC, England National Curriculum</t>
  </si>
  <si>
    <t xml:space="preserve">Current editions, checked October 2026</t>
  </si>
  <si>
    <t xml:space="preserve">Common core of world-history topics across national curricula in the regions the cards serve.</t>
  </si>
  <si>
    <t xml:space="preserve">https://www.gov.uk/government/publications/national-curriculum-in-england-history-programmes-of-study/national-curriculum-in-england-history-programmes-of-study</t>
  </si>
  <si>
    <t xml:space="preserve">Not used</t>
  </si>
  <si>
    <t xml:space="preserve">TIMSS (IEA)</t>
  </si>
  <si>
    <t xml:space="preserve">-</t>
  </si>
  <si>
    <t xml:space="preserve">Assesses mathematics and science only, not history.</t>
  </si>
  <si>
    <t xml:space="preserve">https://www.iea.nl/studies/iea/timss</t>
  </si>
  <si>
    <t xml:space="preserve">PISA (OECD)</t>
  </si>
  <si>
    <t xml:space="preserve">Assesses reading, mathematics and science, not history.</t>
  </si>
  <si>
    <t xml:space="preserve">https://www.oecd.org/en/publications/pisa-2025-assessment-and-analytical-framework_86c36975-en.html</t>
  </si>
  <si>
    <t xml:space="preserve">ICCS (IEA)</t>
  </si>
  <si>
    <t xml:space="preserve">Assesses civic and citizenship knowledge at grade 8, not history.</t>
  </si>
  <si>
    <t xml:space="preserve">https://www.iea.nl/studies/iea/iccs</t>
  </si>
  <si>
    <t xml:space="preserve">Card ID</t>
  </si>
  <si>
    <t xml:space="preserve">Card</t>
  </si>
  <si>
    <t xml:space="preserve">Title</t>
  </si>
  <si>
    <t xml:space="preserve">Question</t>
  </si>
  <si>
    <t xml:space="preserve">Answer</t>
  </si>
  <si>
    <t xml:space="preserve">Map row</t>
  </si>
  <si>
    <t xml:space="preserve">Card set</t>
  </si>
  <si>
    <t xml:space="preserve">001-1</t>
  </si>
  <si>
    <t xml:space="preserve">Ancient Egypt: the pyramids</t>
  </si>
  <si>
    <t xml:space="preserve">H 6</t>
  </si>
  <si>
    <t xml:space="preserve">A land by one long river</t>
  </si>
  <si>
    <t xml:space="preserve">Which land is this?</t>
  </si>
  <si>
    <t xml:space="preserve">Egypt</t>
  </si>
  <si>
    <t xml:space="preserve">001-2</t>
  </si>
  <si>
    <t xml:space="preserve">H 9</t>
  </si>
  <si>
    <t xml:space="preserve">Thousands of workers, no modern machines</t>
  </si>
  <si>
    <t xml:space="preserve">001-3</t>
  </si>
  <si>
    <t xml:space="preserve">H 12</t>
  </si>
  <si>
    <t xml:space="preserve">A mountain of stone</t>
  </si>
  <si>
    <t xml:space="preserve">001-4</t>
  </si>
  <si>
    <t xml:space="preserve">The scribes and the flood</t>
  </si>
  <si>
    <t xml:space="preserve">001-5</t>
  </si>
  <si>
    <t xml:space="preserve">H U</t>
  </si>
  <si>
    <t xml:space="preserve">The stone with three scripts</t>
  </si>
  <si>
    <t xml:space="preserve">002-1</t>
  </si>
  <si>
    <t xml:space="preserve">Mesopotamia: the first cities and writing</t>
  </si>
  <si>
    <t xml:space="preserve">The Land Between Two Rivers</t>
  </si>
  <si>
    <t xml:space="preserve">Mesopotamia</t>
  </si>
  <si>
    <t xml:space="preserve">mesopotamia</t>
  </si>
  <si>
    <t xml:space="preserve">002-2</t>
  </si>
  <si>
    <t xml:space="preserve">Why People Invent Writing</t>
  </si>
  <si>
    <t xml:space="preserve">002-3</t>
  </si>
  <si>
    <t xml:space="preserve">The City: A Big Invention</t>
  </si>
  <si>
    <t xml:space="preserve">002-4</t>
  </si>
  <si>
    <t xml:space="preserve">The First Great Story</t>
  </si>
  <si>
    <t xml:space="preserve">002-5</t>
  </si>
  <si>
    <t xml:space="preserve">Clay Outlasts Paper</t>
  </si>
  <si>
    <t xml:space="preserve">003-1</t>
  </si>
  <si>
    <t xml:space="preserve">Hammurabi and his law code</t>
  </si>
  <si>
    <t xml:space="preserve">The King and the Tall Law Stone</t>
  </si>
  <si>
    <t xml:space="preserve">Who is King X?</t>
  </si>
  <si>
    <t xml:space="preserve">Hammurabi</t>
  </si>
  <si>
    <t xml:space="preserve">hammurabi</t>
  </si>
  <si>
    <t xml:space="preserve">003-2</t>
  </si>
  <si>
    <t xml:space="preserve">Laws for All to See</t>
  </si>
  <si>
    <t xml:space="preserve">003-3</t>
  </si>
  <si>
    <t xml:space="preserve">A Window into Daily Life</t>
  </si>
  <si>
    <t xml:space="preserve">003-4</t>
  </si>
  <si>
    <t xml:space="preserve">An Eye for an Eye?</t>
  </si>
  <si>
    <t xml:space="preserve">003-5</t>
  </si>
  <si>
    <t xml:space="preserve">The Stone That Travels Through Time</t>
  </si>
  <si>
    <t xml:space="preserve">004-1</t>
  </si>
  <si>
    <t xml:space="preserve">The Phoenicians and the alphabet</t>
  </si>
  <si>
    <t xml:space="preserve">Ships, cedar, and purple</t>
  </si>
  <si>
    <t xml:space="preserve">Who are the X people?</t>
  </si>
  <si>
    <t xml:space="preserve">The Phoenicians</t>
  </si>
  <si>
    <t xml:space="preserve">004-2</t>
  </si>
  <si>
    <t xml:space="preserve">Twenty-two little signs</t>
  </si>
  <si>
    <t xml:space="preserve">004-3</t>
  </si>
  <si>
    <t xml:space="preserve">A network, not an empire</t>
  </si>
  <si>
    <t xml:space="preserve">004-4</t>
  </si>
  <si>
    <t xml:space="preserve">The journey of the letter A</t>
  </si>
  <si>
    <t xml:space="preserve">004-5</t>
  </si>
  <si>
    <t xml:space="preserve">The people without a voice</t>
  </si>
  <si>
    <t xml:space="preserve">005-1</t>
  </si>
  <si>
    <t xml:space="preserve">Socrates</t>
  </si>
  <si>
    <t xml:space="preserve">The man who never writes a book</t>
  </si>
  <si>
    <t xml:space="preserve">Who is Mr X?</t>
  </si>
  <si>
    <t xml:space="preserve">socrates</t>
  </si>
  <si>
    <t xml:space="preserve">005-2</t>
  </si>
  <si>
    <t xml:space="preserve">Answer with a question</t>
  </si>
  <si>
    <t xml:space="preserve">005-3</t>
  </si>
  <si>
    <t xml:space="preserve">The trial of the questioner</t>
  </si>
  <si>
    <t xml:space="preserve">005-4</t>
  </si>
  <si>
    <t xml:space="preserve">The soul is worth more than gold</t>
  </si>
  <si>
    <t xml:space="preserve">005-5</t>
  </si>
  <si>
    <t xml:space="preserve">Three pictures of one man</t>
  </si>
  <si>
    <t xml:space="preserve">006-1</t>
  </si>
  <si>
    <t xml:space="preserve">Plato</t>
  </si>
  <si>
    <t xml:space="preserve">The student who writes it all into books</t>
  </si>
  <si>
    <t xml:space="preserve">plato</t>
  </si>
  <si>
    <t xml:space="preserve">006-2</t>
  </si>
  <si>
    <t xml:space="preserve">The cave and the shadows</t>
  </si>
  <si>
    <t xml:space="preserve">006-3</t>
  </si>
  <si>
    <t xml:space="preserve">The perfect circle</t>
  </si>
  <si>
    <t xml:space="preserve">006-4</t>
  </si>
  <si>
    <t xml:space="preserve">Who should rule?</t>
  </si>
  <si>
    <t xml:space="preserve">006-5</t>
  </si>
  <si>
    <t xml:space="preserve">What is knowledge?</t>
  </si>
  <si>
    <t xml:space="preserve">007-1</t>
  </si>
  <si>
    <t xml:space="preserve">Aristotle</t>
  </si>
  <si>
    <t xml:space="preserve">The Teacher Who Studies Everything</t>
  </si>
  <si>
    <t xml:space="preserve">aristotle</t>
  </si>
  <si>
    <t xml:space="preserve">007-2</t>
  </si>
  <si>
    <t xml:space="preserve">Use Your Eyes</t>
  </si>
  <si>
    <t xml:space="preserve">007-3</t>
  </si>
  <si>
    <t xml:space="preserve">The Rules of Good Thinking</t>
  </si>
  <si>
    <t xml:space="preserve">007-4</t>
  </si>
  <si>
    <t xml:space="preserve">The Good Middle</t>
  </si>
  <si>
    <t xml:space="preserve">007-5</t>
  </si>
  <si>
    <t xml:space="preserve">Check Every Authority</t>
  </si>
  <si>
    <t xml:space="preserve">008-1</t>
  </si>
  <si>
    <t xml:space="preserve">The Boy and the Horse No One Can Ride</t>
  </si>
  <si>
    <t xml:space="preserve">008-2</t>
  </si>
  <si>
    <t xml:space="preserve">A Language Travels East</t>
  </si>
  <si>
    <t xml:space="preserve">008-3</t>
  </si>
  <si>
    <t xml:space="preserve">The City of Knowledge</t>
  </si>
  <si>
    <t xml:space="preserve">008-4</t>
  </si>
  <si>
    <t xml:space="preserve">Great for Which People?</t>
  </si>
  <si>
    <t xml:space="preserve">008-5</t>
  </si>
  <si>
    <t xml:space="preserve">The Man and the Myth</t>
  </si>
  <si>
    <t xml:space="preserve">009-1</t>
  </si>
  <si>
    <t xml:space="preserve">The Roman Republic and Roman Empire</t>
  </si>
  <si>
    <t xml:space="preserve">The city on seven hills</t>
  </si>
  <si>
    <t xml:space="preserve">Which empire is this?</t>
  </si>
  <si>
    <t xml:space="preserve">Rome</t>
  </si>
  <si>
    <t xml:space="preserve">roman-republic-empire</t>
  </si>
  <si>
    <t xml:space="preserve">009-2</t>
  </si>
  <si>
    <t xml:space="preserve">The public thing</t>
  </si>
  <si>
    <t xml:space="preserve">Which city is this?</t>
  </si>
  <si>
    <t xml:space="preserve">009-3</t>
  </si>
  <si>
    <t xml:space="preserve">How a republic dies</t>
  </si>
  <si>
    <t xml:space="preserve">009-4</t>
  </si>
  <si>
    <t xml:space="preserve">Empires end, ideas remain</t>
  </si>
  <si>
    <t xml:space="preserve">009-5</t>
  </si>
  <si>
    <t xml:space="preserve">Fall or transformation?</t>
  </si>
  <si>
    <t xml:space="preserve">010-1</t>
  </si>
  <si>
    <t xml:space="preserve">Julius Caesar</t>
  </si>
  <si>
    <t xml:space="preserve">A Name in Everyday Words</t>
  </si>
  <si>
    <t xml:space="preserve">julius-caesar</t>
  </si>
  <si>
    <t xml:space="preserve">010-2</t>
  </si>
  <si>
    <t xml:space="preserve">A Year That Follows the Sun</t>
  </si>
  <si>
    <t xml:space="preserve">010-3</t>
  </si>
  <si>
    <t xml:space="preserve">The River of No Return</t>
  </si>
  <si>
    <t xml:space="preserve">010-4</t>
  </si>
  <si>
    <t xml:space="preserve">Can Violence Save a Republic?</t>
  </si>
  <si>
    <t xml:space="preserve">010-5</t>
  </si>
  <si>
    <t xml:space="preserve">The Hero of His Own Story</t>
  </si>
  <si>
    <t xml:space="preserve">011-1</t>
  </si>
  <si>
    <t xml:space="preserve">Confucius</t>
  </si>
  <si>
    <t xml:space="preserve">A School for Rich and Poor</t>
  </si>
  <si>
    <t xml:space="preserve">Who is Master X?</t>
  </si>
  <si>
    <t xml:space="preserve">011-2</t>
  </si>
  <si>
    <t xml:space="preserve">One Rule for Life</t>
  </si>
  <si>
    <t xml:space="preserve">011-3</t>
  </si>
  <si>
    <t xml:space="preserve">Lead by Good Example</t>
  </si>
  <si>
    <t xml:space="preserve">011-4</t>
  </si>
  <si>
    <t xml:space="preserve">The Glue of Society</t>
  </si>
  <si>
    <t xml:space="preserve">011-5</t>
  </si>
  <si>
    <t xml:space="preserve">The Long Life of Ideas</t>
  </si>
  <si>
    <t xml:space="preserve">012-1</t>
  </si>
  <si>
    <t xml:space="preserve">Siddhartha Gautama</t>
  </si>
  <si>
    <t xml:space="preserve">The prince who leaves the palace</t>
  </si>
  <si>
    <t xml:space="preserve">Who is Prince X?</t>
  </si>
  <si>
    <t xml:space="preserve">012-2</t>
  </si>
  <si>
    <t xml:space="preserve">Not too much, not too little</t>
  </si>
  <si>
    <t xml:space="preserve">012-3</t>
  </si>
  <si>
    <t xml:space="preserve">A quiet revolution</t>
  </si>
  <si>
    <t xml:space="preserve">012-4</t>
  </si>
  <si>
    <t xml:space="preserve">An idea travels without an army</t>
  </si>
  <si>
    <t xml:space="preserve">012-5</t>
  </si>
  <si>
    <t xml:space="preserve">Living books</t>
  </si>
  <si>
    <t xml:space="preserve">013-1</t>
  </si>
  <si>
    <t xml:space="preserve">Ancient Greece</t>
  </si>
  <si>
    <t xml:space="preserve">Mountains, islands, and the sea</t>
  </si>
  <si>
    <t xml:space="preserve">Greece</t>
  </si>
  <si>
    <t xml:space="preserve">ancient-greece</t>
  </si>
  <si>
    <t xml:space="preserve">013-2</t>
  </si>
  <si>
    <t xml:space="preserve">The people rule</t>
  </si>
  <si>
    <t xml:space="preserve">013-3</t>
  </si>
  <si>
    <t xml:space="preserve">The theater on the hillside</t>
  </si>
  <si>
    <t xml:space="preserve">013-4</t>
  </si>
  <si>
    <t xml:space="preserve">Frogs around a pond</t>
  </si>
  <si>
    <t xml:space="preserve">013-5</t>
  </si>
  <si>
    <t xml:space="preserve">The white marble dream</t>
  </si>
  <si>
    <t xml:space="preserve">014-1</t>
  </si>
  <si>
    <t xml:space="preserve">The Olympic Games</t>
  </si>
  <si>
    <t xml:space="preserve">A crown of olive leaves</t>
  </si>
  <si>
    <t xml:space="preserve">Which games are these?</t>
  </si>
  <si>
    <t xml:space="preserve">olympic-games</t>
  </si>
  <si>
    <t xml:space="preserve">014-2</t>
  </si>
  <si>
    <t xml:space="preserve">The holy peace</t>
  </si>
  <si>
    <t xml:space="preserve">014-3</t>
  </si>
  <si>
    <t xml:space="preserve">Win with honor</t>
  </si>
  <si>
    <t xml:space="preserve">014-4</t>
  </si>
  <si>
    <t xml:space="preserve">The games wake up again</t>
  </si>
  <si>
    <t xml:space="preserve">014-5</t>
  </si>
  <si>
    <t xml:space="preserve">Lists, a traveler, and a buried stadium</t>
  </si>
  <si>
    <t xml:space="preserve">015-1</t>
  </si>
  <si>
    <t xml:space="preserve">Augustus</t>
  </si>
  <si>
    <t xml:space="preserve">A Boy with a Powerful Name</t>
  </si>
  <si>
    <t xml:space="preserve">augustus</t>
  </si>
  <si>
    <t xml:space="preserve">015-2</t>
  </si>
  <si>
    <t xml:space="preserve">From Brick to Marble</t>
  </si>
  <si>
    <t xml:space="preserve">Who is Emperor X?</t>
  </si>
  <si>
    <t xml:space="preserve">015-3</t>
  </si>
  <si>
    <t xml:space="preserve">Power without a Crown</t>
  </si>
  <si>
    <t xml:space="preserve">015-4</t>
  </si>
  <si>
    <t xml:space="preserve">The Face That Never Grows Old</t>
  </si>
  <si>
    <t xml:space="preserve">015-5</t>
  </si>
  <si>
    <t xml:space="preserve">Carved in Stone</t>
  </si>
  <si>
    <t xml:space="preserve">016-1</t>
  </si>
  <si>
    <t xml:space="preserve">Jesus of Nazareth</t>
  </si>
  <si>
    <t xml:space="preserve">The carpenter's son</t>
  </si>
  <si>
    <t xml:space="preserve">Jesus</t>
  </si>
  <si>
    <t xml:space="preserve">016-2</t>
  </si>
  <si>
    <t xml:space="preserve">Love your enemies too</t>
  </si>
  <si>
    <t xml:space="preserve">016-3</t>
  </si>
  <si>
    <t xml:space="preserve">The good stranger</t>
  </si>
  <si>
    <t xml:space="preserve">016-4</t>
  </si>
  <si>
    <t xml:space="preserve">The year on the calendar</t>
  </si>
  <si>
    <t xml:space="preserve">016-5</t>
  </si>
  <si>
    <t xml:space="preserve">How do we know?</t>
  </si>
  <si>
    <t xml:space="preserve">017-1</t>
  </si>
  <si>
    <t xml:space="preserve">Muhammad</t>
  </si>
  <si>
    <t xml:space="preserve">The Trader and the Quiet Cave</t>
  </si>
  <si>
    <t xml:space="preserve">017-2</t>
  </si>
  <si>
    <t xml:space="preserve">A New Start in a New Town</t>
  </si>
  <si>
    <t xml:space="preserve">017-3</t>
  </si>
  <si>
    <t xml:space="preserve">A Book to Learn by Heart</t>
  </si>
  <si>
    <t xml:space="preserve">017-4</t>
  </si>
  <si>
    <t xml:space="preserve">From the Desert to a World of Knowledge</t>
  </si>
  <si>
    <t xml:space="preserve">017-5</t>
  </si>
  <si>
    <t xml:space="preserve">How Do Historians Know?</t>
  </si>
  <si>
    <t xml:space="preserve">018-1</t>
  </si>
  <si>
    <t xml:space="preserve">The Byzantine Empire</t>
  </si>
  <si>
    <t xml:space="preserve">The city between two seas</t>
  </si>
  <si>
    <t xml:space="preserve">018-2</t>
  </si>
  <si>
    <t xml:space="preserve">The dome that seems to float</t>
  </si>
  <si>
    <t xml:space="preserve">018-3</t>
  </si>
  <si>
    <t xml:space="preserve">A thousand years of laws</t>
  </si>
  <si>
    <t xml:space="preserve">018-4</t>
  </si>
  <si>
    <t xml:space="preserve">A bridge of books</t>
  </si>
  <si>
    <t xml:space="preserve">018-5</t>
  </si>
  <si>
    <t xml:space="preserve">Who names the past?</t>
  </si>
  <si>
    <t xml:space="preserve">019-1</t>
  </si>
  <si>
    <t xml:space="preserve">Ships for sea and river</t>
  </si>
  <si>
    <t xml:space="preserve">019-2</t>
  </si>
  <si>
    <t xml:space="preserve">East to the big city</t>
  </si>
  <si>
    <t xml:space="preserve">019-3</t>
  </si>
  <si>
    <t xml:space="preserve">Land in the west</t>
  </si>
  <si>
    <t xml:space="preserve">019-4</t>
  </si>
  <si>
    <t xml:space="preserve">Stones that remember</t>
  </si>
  <si>
    <t xml:space="preserve">019-5</t>
  </si>
  <si>
    <t xml:space="preserve">Who writes their story?</t>
  </si>
  <si>
    <t xml:space="preserve">020-1</t>
  </si>
  <si>
    <t xml:space="preserve">The Crusades</t>
  </si>
  <si>
    <t xml:space="preserve">The long journey east</t>
  </si>
  <si>
    <t xml:space="preserve">Which wars are these?</t>
  </si>
  <si>
    <t xml:space="preserve">020-2</t>
  </si>
  <si>
    <t xml:space="preserve">Why do so many go?</t>
  </si>
  <si>
    <t xml:space="preserve">020-3</t>
  </si>
  <si>
    <t xml:space="preserve">Goods and ideas cross the sea</t>
  </si>
  <si>
    <t xml:space="preserve">020-4</t>
  </si>
  <si>
    <t xml:space="preserve">No simple story</t>
  </si>
  <si>
    <t xml:space="preserve">020-5</t>
  </si>
  <si>
    <t xml:space="preserve">Two books about the same wars</t>
  </si>
  <si>
    <t xml:space="preserve">021-1</t>
  </si>
  <si>
    <t xml:space="preserve">The Black Death</t>
  </si>
  <si>
    <t xml:space="preserve">The sickness on the ships</t>
  </si>
  <si>
    <t xml:space="preserve">Which sickness is this?</t>
  </si>
  <si>
    <t xml:space="preserve">021-2</t>
  </si>
  <si>
    <t xml:space="preserve">Guessing and knowing</t>
  </si>
  <si>
    <t xml:space="preserve">021-3</t>
  </si>
  <si>
    <t xml:space="preserve">When workers become few</t>
  </si>
  <si>
    <t xml:space="preserve">021-4</t>
  </si>
  <si>
    <t xml:space="preserve">Fear and forty days</t>
  </si>
  <si>
    <t xml:space="preserve">021-5</t>
  </si>
  <si>
    <t xml:space="preserve">How we know</t>
  </si>
  <si>
    <t xml:space="preserve">022-1</t>
  </si>
  <si>
    <t xml:space="preserve">Genghis Khan</t>
  </si>
  <si>
    <t xml:space="preserve">The Poor Boy from the Sea of Grass</t>
  </si>
  <si>
    <t xml:space="preserve">Who is Khan X?</t>
  </si>
  <si>
    <t xml:space="preserve">022-2</t>
  </si>
  <si>
    <t xml:space="preserve">The Empire of Fast Horses</t>
  </si>
  <si>
    <t xml:space="preserve">022-3</t>
  </si>
  <si>
    <t xml:space="preserve">The Ruler Who Cannot Read</t>
  </si>
  <si>
    <t xml:space="preserve">022-4</t>
  </si>
  <si>
    <t xml:space="preserve">Safe Roads, Terrible Price</t>
  </si>
  <si>
    <t xml:space="preserve">022-5</t>
  </si>
  <si>
    <t xml:space="preserve">Monster or State-Builder?</t>
  </si>
  <si>
    <t xml:space="preserve">023-1</t>
  </si>
  <si>
    <t xml:space="preserve">Joan of Arc</t>
  </si>
  <si>
    <t xml:space="preserve">The Farm Girl in Armor</t>
  </si>
  <si>
    <t xml:space="preserve">Who is Miss X?</t>
  </si>
  <si>
    <t xml:space="preserve">023-2</t>
  </si>
  <si>
    <t xml:space="preserve">The Siege That Turns a War</t>
  </si>
  <si>
    <t xml:space="preserve">023-3</t>
  </si>
  <si>
    <t xml:space="preserve">Every Word Is Written Down</t>
  </si>
  <si>
    <t xml:space="preserve">023-4</t>
  </si>
  <si>
    <t xml:space="preserve">The Prince Who Needs a Sign</t>
  </si>
  <si>
    <t xml:space="preserve">023-5</t>
  </si>
  <si>
    <t xml:space="preserve">Two Courts, Two Stories</t>
  </si>
  <si>
    <t xml:space="preserve">024-1</t>
  </si>
  <si>
    <t xml:space="preserve">Silk, spices, and new art</t>
  </si>
  <si>
    <t xml:space="preserve">Which period is this?</t>
  </si>
  <si>
    <t xml:space="preserve">renaissance</t>
  </si>
  <si>
    <t xml:space="preserve">024-2</t>
  </si>
  <si>
    <t xml:space="preserve">The hunt for old books</t>
  </si>
  <si>
    <t xml:space="preserve">024-3</t>
  </si>
  <si>
    <t xml:space="preserve">A window in the wall</t>
  </si>
  <si>
    <t xml:space="preserve">024-4</t>
  </si>
  <si>
    <t xml:space="preserve">Back to the sources</t>
  </si>
  <si>
    <t xml:space="preserve">024-5</t>
  </si>
  <si>
    <t xml:space="preserve">Sharp break or slow change?</t>
  </si>
  <si>
    <t xml:space="preserve">025-1</t>
  </si>
  <si>
    <t xml:space="preserve">Leonardo da Vinci</t>
  </si>
  <si>
    <t xml:space="preserve">The Apprentice Who Asks Why</t>
  </si>
  <si>
    <t xml:space="preserve">leonardo-da-vinci</t>
  </si>
  <si>
    <t xml:space="preserve">025-2</t>
  </si>
  <si>
    <t xml:space="preserve">The Notebooks Written Backwards</t>
  </si>
  <si>
    <t xml:space="preserve">025-3</t>
  </si>
  <si>
    <t xml:space="preserve">What Is Under the Skin</t>
  </si>
  <si>
    <t xml:space="preserve">025-4</t>
  </si>
  <si>
    <t xml:space="preserve">Wings on Paper</t>
  </si>
  <si>
    <t xml:space="preserve">025-5</t>
  </si>
  <si>
    <t xml:space="preserve">The Scattered Pages</t>
  </si>
  <si>
    <t xml:space="preserve">026-1</t>
  </si>
  <si>
    <t xml:space="preserve">Johannes Gutenberg</t>
  </si>
  <si>
    <t xml:space="preserve">The Book That Costs a Farm</t>
  </si>
  <si>
    <t xml:space="preserve">026-2</t>
  </si>
  <si>
    <t xml:space="preserve">A Wine Press for Words</t>
  </si>
  <si>
    <t xml:space="preserve">026-3</t>
  </si>
  <si>
    <t xml:space="preserve">Not the First in the World</t>
  </si>
  <si>
    <t xml:space="preserve">026-4</t>
  </si>
  <si>
    <t xml:space="preserve">Ideas Too Fast to Stop</t>
  </si>
  <si>
    <t xml:space="preserve">026-5</t>
  </si>
  <si>
    <t xml:space="preserve">The Famous Man We Hardly Know</t>
  </si>
  <si>
    <t xml:space="preserve">027-1</t>
  </si>
  <si>
    <t xml:space="preserve">Christopher Columbus</t>
  </si>
  <si>
    <t xml:space="preserve">Three Ships on an Unknown Sea</t>
  </si>
  <si>
    <t xml:space="preserve">Who is Captain X?</t>
  </si>
  <si>
    <t xml:space="preserve">christopher-columbus</t>
  </si>
  <si>
    <t xml:space="preserve">027-2</t>
  </si>
  <si>
    <t xml:space="preserve">The Wrong Size of the World</t>
  </si>
  <si>
    <t xml:space="preserve">027-3</t>
  </si>
  <si>
    <t xml:space="preserve">The Islands Are Not Empty</t>
  </si>
  <si>
    <t xml:space="preserve">027-4</t>
  </si>
  <si>
    <t xml:space="preserve">Gold, a Colony, and a Priest's Pen</t>
  </si>
  <si>
    <t xml:space="preserve">027-5</t>
  </si>
  <si>
    <t xml:space="preserve">Discovery on Trial</t>
  </si>
  <si>
    <t xml:space="preserve">028-1</t>
  </si>
  <si>
    <t xml:space="preserve">Ferdinand Magellan</t>
  </si>
  <si>
    <t xml:space="preserve">Five Ships and a Calm New Ocean</t>
  </si>
  <si>
    <t xml:space="preserve">ferdinand-magellan</t>
  </si>
  <si>
    <t xml:space="preserve">028-2</t>
  </si>
  <si>
    <t xml:space="preserve">The Ocean Nobody Can Measure</t>
  </si>
  <si>
    <t xml:space="preserve">028-3</t>
  </si>
  <si>
    <t xml:space="preserve">The Chief Who Says No</t>
  </si>
  <si>
    <t xml:space="preserve">028-4</t>
  </si>
  <si>
    <t xml:space="preserve">The Interpreter from Malacca</t>
  </si>
  <si>
    <t xml:space="preserve">028-5</t>
  </si>
  <si>
    <t xml:space="preserve">Eighteen Men and a Lost Day</t>
  </si>
  <si>
    <t xml:space="preserve">029-1</t>
  </si>
  <si>
    <t xml:space="preserve">Nicolaus Copernicus</t>
  </si>
  <si>
    <t xml:space="preserve">The Quiet Man in the Tower</t>
  </si>
  <si>
    <t xml:space="preserve">nicolaus-copernicus</t>
  </si>
  <si>
    <t xml:space="preserve">029-2</t>
  </si>
  <si>
    <t xml:space="preserve">Why Nobody Feels the Earth Move</t>
  </si>
  <si>
    <t xml:space="preserve">029-3</t>
  </si>
  <si>
    <t xml:space="preserve">A Book on His Last Day</t>
  </si>
  <si>
    <t xml:space="preserve">029-4</t>
  </si>
  <si>
    <t xml:space="preserve">An Old Idea with New Numbers</t>
  </si>
  <si>
    <t xml:space="preserve">029-5</t>
  </si>
  <si>
    <t xml:space="preserve">A Very Slow Revolution</t>
  </si>
  <si>
    <t xml:space="preserve">030-1</t>
  </si>
  <si>
    <t xml:space="preserve">Galileo Galilei</t>
  </si>
  <si>
    <t xml:space="preserve">Four Small Lights Beside Jupiter</t>
  </si>
  <si>
    <t xml:space="preserve">galileo-galilei</t>
  </si>
  <si>
    <t xml:space="preserve">030-2</t>
  </si>
  <si>
    <t xml:space="preserve">The Ball, the Ramp, and the Water Clock</t>
  </si>
  <si>
    <t xml:space="preserve">030-3</t>
  </si>
  <si>
    <t xml:space="preserve">The Sky Is Not Perfect</t>
  </si>
  <si>
    <t xml:space="preserve">030-4</t>
  </si>
  <si>
    <t xml:space="preserve">An Old Man Kneels in Rome</t>
  </si>
  <si>
    <t xml:space="preserve">030-5</t>
  </si>
  <si>
    <t xml:space="preserve">More Than Church Against Science</t>
  </si>
  <si>
    <t xml:space="preserve">031-1</t>
  </si>
  <si>
    <t xml:space="preserve">The Protestant Reformation</t>
  </si>
  <si>
    <t xml:space="preserve">Paper for coins</t>
  </si>
  <si>
    <t xml:space="preserve">Which movement is Movement X?</t>
  </si>
  <si>
    <t xml:space="preserve">protestant-reformation</t>
  </si>
  <si>
    <t xml:space="preserve">031-2</t>
  </si>
  <si>
    <t xml:space="preserve">Small booklets, big change</t>
  </si>
  <si>
    <t xml:space="preserve">031-3</t>
  </si>
  <si>
    <t xml:space="preserve">Why the rulers choose sides</t>
  </si>
  <si>
    <t xml:space="preserve">031-4</t>
  </si>
  <si>
    <t xml:space="preserve">Not one man, but many</t>
  </si>
  <si>
    <t xml:space="preserve">031-5</t>
  </si>
  <si>
    <t xml:space="preserve">Faith, power, or bread?</t>
  </si>
  <si>
    <t xml:space="preserve">032-1</t>
  </si>
  <si>
    <t xml:space="preserve">Martin Luther</t>
  </si>
  <si>
    <t xml:space="preserve">The Monk Who Is Afraid of God</t>
  </si>
  <si>
    <t xml:space="preserve">Who is Brother X?</t>
  </si>
  <si>
    <t xml:space="preserve">martin-luther</t>
  </si>
  <si>
    <t xml:space="preserve">032-2</t>
  </si>
  <si>
    <t xml:space="preserve">Ninety-Five Points Against a Sale</t>
  </si>
  <si>
    <t xml:space="preserve">032-3</t>
  </si>
  <si>
    <t xml:space="preserve">I Cannot Take It Back</t>
  </si>
  <si>
    <t xml:space="preserve">032-4</t>
  </si>
  <si>
    <t xml:space="preserve">A Bible for the Mother in the House</t>
  </si>
  <si>
    <t xml:space="preserve">032-5</t>
  </si>
  <si>
    <t xml:space="preserve">A Hundred Volumes and a Dark Page</t>
  </si>
  <si>
    <t xml:space="preserve">033-1</t>
  </si>
  <si>
    <t xml:space="preserve">From wheel to mill by the river</t>
  </si>
  <si>
    <t xml:space="preserve">Which revolution is Revolution X?</t>
  </si>
  <si>
    <t xml:space="preserve">033-2</t>
  </si>
  <si>
    <t xml:space="preserve">Twelve hours in the mill</t>
  </si>
  <si>
    <t xml:space="preserve">033-3</t>
  </si>
  <si>
    <t xml:space="preserve">The engine that changes distance</t>
  </si>
  <si>
    <t xml:space="preserve">033-4</t>
  </si>
  <si>
    <t xml:space="preserve">Cotton from three continents</t>
  </si>
  <si>
    <t xml:space="preserve">033-5</t>
  </si>
  <si>
    <t xml:space="preserve">Revolution or slow change?</t>
  </si>
  <si>
    <t xml:space="preserve">034-1</t>
  </si>
  <si>
    <t xml:space="preserve">Charles Darwin</t>
  </si>
  <si>
    <t xml:space="preserve">Beetles, Seasickness, and Five Years at Sea</t>
  </si>
  <si>
    <t xml:space="preserve">charles-darwin</t>
  </si>
  <si>
    <t xml:space="preserve">034-2</t>
  </si>
  <si>
    <t xml:space="preserve">Twenty Years of Notebooks and a Letter from Asia</t>
  </si>
  <si>
    <t xml:space="preserve">034-3</t>
  </si>
  <si>
    <t xml:space="preserve">Pigeons, Barnacles, and Patient Experiments</t>
  </si>
  <si>
    <t xml:space="preserve">034-4</t>
  </si>
  <si>
    <t xml:space="preserve">A Debate in Oxford, Retold Many Ways</t>
  </si>
  <si>
    <t xml:space="preserve">034-5</t>
  </si>
  <si>
    <t xml:space="preserve">A Tree Sketch, a Second Discoverer, and a Misused Legacy</t>
  </si>
  <si>
    <t xml:space="preserve">035-1</t>
  </si>
  <si>
    <t xml:space="preserve">Karl Marx</t>
  </si>
  <si>
    <t xml:space="preserve">The Writer in a Cold Room</t>
  </si>
  <si>
    <t xml:space="preserve">035-2</t>
  </si>
  <si>
    <t xml:space="preserve">A Small Book for the Workers</t>
  </si>
  <si>
    <t xml:space="preserve">035-3</t>
  </si>
  <si>
    <t xml:space="preserve">Where Does Profit Come From?</t>
  </si>
  <si>
    <t xml:space="preserve">035-4</t>
  </si>
  <si>
    <t xml:space="preserve">A Man Who Cannot Go Home</t>
  </si>
  <si>
    <t xml:space="preserve">035-5</t>
  </si>
  <si>
    <t xml:space="preserve">A Name That Outlives the Man</t>
  </si>
  <si>
    <t xml:space="preserve">036-1</t>
  </si>
  <si>
    <t xml:space="preserve">Tea in the harbor</t>
  </si>
  <si>
    <t xml:space="preserve">american-revolution</t>
  </si>
  <si>
    <t xml:space="preserve">036-2</t>
  </si>
  <si>
    <t xml:space="preserve">A declaration, and a war</t>
  </si>
  <si>
    <t xml:space="preserve">036-3</t>
  </si>
  <si>
    <t xml:space="preserve">Whose liberty?</t>
  </si>
  <si>
    <t xml:space="preserve">036-4</t>
  </si>
  <si>
    <t xml:space="preserve">A costly rescue at sea</t>
  </si>
  <si>
    <t xml:space="preserve">036-5</t>
  </si>
  <si>
    <t xml:space="preserve">One revolution's long echo</t>
  </si>
  <si>
    <t xml:space="preserve">037-1</t>
  </si>
  <si>
    <t xml:space="preserve">George Washington</t>
  </si>
  <si>
    <t xml:space="preserve">The General Who Will Not Quit</t>
  </si>
  <si>
    <t xml:space="preserve">Who is General X?</t>
  </si>
  <si>
    <t xml:space="preserve">george-washington</t>
  </si>
  <si>
    <t xml:space="preserve">037-2</t>
  </si>
  <si>
    <t xml:space="preserve">The General Who Gives Back His Command</t>
  </si>
  <si>
    <t xml:space="preserve">037-3</t>
  </si>
  <si>
    <t xml:space="preserve">A Farm Built on Slavery</t>
  </si>
  <si>
    <t xml:space="preserve">037-4</t>
  </si>
  <si>
    <t xml:space="preserve">A Shot in the Forest, a World at War</t>
  </si>
  <si>
    <t xml:space="preserve">037-5</t>
  </si>
  <si>
    <t xml:space="preserve">The Cherry Tree That Never Was</t>
  </si>
  <si>
    <t xml:space="preserve">038-1</t>
  </si>
  <si>
    <t xml:space="preserve">The French Revolution</t>
  </si>
  <si>
    <t xml:space="preserve">Not enough bread</t>
  </si>
  <si>
    <t xml:space="preserve">french-revolution</t>
  </si>
  <si>
    <t xml:space="preserve">038-2</t>
  </si>
  <si>
    <t xml:space="preserve">A king tries to run</t>
  </si>
  <si>
    <t xml:space="preserve">038-3</t>
  </si>
  <si>
    <t xml:space="preserve">The king stands trial</t>
  </si>
  <si>
    <t xml:space="preserve">038-4</t>
  </si>
  <si>
    <t xml:space="preserve">Not Yet for Everyone</t>
  </si>
  <si>
    <t xml:space="preserve">038-5</t>
  </si>
  <si>
    <t xml:space="preserve">One revolution, many stories</t>
  </si>
  <si>
    <t xml:space="preserve">039-1</t>
  </si>
  <si>
    <t xml:space="preserve">Napoleon Bonaparte</t>
  </si>
  <si>
    <t xml:space="preserve">A Boy from an Island Becomes a General</t>
  </si>
  <si>
    <t xml:space="preserve">napoleon-bonaparte</t>
  </si>
  <si>
    <t xml:space="preserve">039-2</t>
  </si>
  <si>
    <t xml:space="preserve">The Man Who Crowns Himself</t>
  </si>
  <si>
    <t xml:space="preserve">039-3</t>
  </si>
  <si>
    <t xml:space="preserve">The Long Road Back from Russia</t>
  </si>
  <si>
    <t xml:space="preserve">039-4</t>
  </si>
  <si>
    <t xml:space="preserve">The Other Side of the Story</t>
  </si>
  <si>
    <t xml:space="preserve">039-5</t>
  </si>
  <si>
    <t xml:space="preserve">Hero of the Revolution or Its Gravedigger</t>
  </si>
  <si>
    <t xml:space="preserve">040-1</t>
  </si>
  <si>
    <t xml:space="preserve">Adolf Hitler</t>
  </si>
  <si>
    <t xml:space="preserve">A Country Loses Its Freedom</t>
  </si>
  <si>
    <t xml:space="preserve">adolf-hitler</t>
  </si>
  <si>
    <t xml:space="preserve">040-2</t>
  </si>
  <si>
    <t xml:space="preserve">The Failed Painter Who Wants Power</t>
  </si>
  <si>
    <t xml:space="preserve">040-3</t>
  </si>
  <si>
    <t xml:space="preserve">Windows Break Across a Country</t>
  </si>
  <si>
    <t xml:space="preserve">040-4</t>
  </si>
  <si>
    <t xml:space="preserve">One Voice in the Kitchen</t>
  </si>
  <si>
    <t xml:space="preserve">040-5</t>
  </si>
  <si>
    <t xml:space="preserve">Not One Man, But a Whole Machine</t>
  </si>
  <si>
    <t xml:space="preserve">041-1</t>
  </si>
  <si>
    <t xml:space="preserve">Mahatma Gandhi</t>
  </si>
  <si>
    <t xml:space="preserve">A Long Walk to the Sea</t>
  </si>
  <si>
    <t xml:space="preserve">041-2</t>
  </si>
  <si>
    <t xml:space="preserve">A Fight With No Weapons</t>
  </si>
  <si>
    <t xml:space="preserve">041-3</t>
  </si>
  <si>
    <t xml:space="preserve">Thrown Off the Train</t>
  </si>
  <si>
    <t xml:space="preserve">041-4</t>
  </si>
  <si>
    <t xml:space="preserve">A Country Splits in Two</t>
  </si>
  <si>
    <t xml:space="preserve">041-5</t>
  </si>
  <si>
    <t xml:space="preserve">Debates That Outlive Him</t>
  </si>
  <si>
    <t xml:space="preserve">042-1</t>
  </si>
  <si>
    <t xml:space="preserve">Talk Instead of Fight</t>
  </si>
  <si>
    <t xml:space="preserve">Which organization is Organization X?</t>
  </si>
  <si>
    <t xml:space="preserve">042-2</t>
  </si>
  <si>
    <t xml:space="preserve">The Rule That Can Stop Everything</t>
  </si>
  <si>
    <t xml:space="preserve">042-3</t>
  </si>
  <si>
    <t xml:space="preserve">A List for Every Human</t>
  </si>
  <si>
    <t xml:space="preserve">042-4</t>
  </si>
  <si>
    <t xml:space="preserve">New Members, Hard Failures</t>
  </si>
  <si>
    <t xml:space="preserve">042-5</t>
  </si>
  <si>
    <t xml:space="preserve">The Question Archives Cannot Answer</t>
  </si>
  <si>
    <t xml:space="preserve">043-1</t>
  </si>
  <si>
    <t xml:space="preserve">World War I</t>
  </si>
  <si>
    <t xml:space="preserve">Two rows of dominoes</t>
  </si>
  <si>
    <t xml:space="preserve">Which war is War X?</t>
  </si>
  <si>
    <t xml:space="preserve">043-2</t>
  </si>
  <si>
    <t xml:space="preserve">A line that does not move</t>
  </si>
  <si>
    <t xml:space="preserve">043-3</t>
  </si>
  <si>
    <t xml:space="preserve">Soldiers from every continent</t>
  </si>
  <si>
    <t xml:space="preserve">043-4</t>
  </si>
  <si>
    <t xml:space="preserve">The eleventh hour</t>
  </si>
  <si>
    <t xml:space="preserve">043-5</t>
  </si>
  <si>
    <t xml:space="preserve">Whose fault, and how do we know</t>
  </si>
  <si>
    <t xml:space="preserve">044-1</t>
  </si>
  <si>
    <t xml:space="preserve">World War II</t>
  </si>
  <si>
    <t xml:space="preserve">A small suitcase and a new home</t>
  </si>
  <si>
    <t xml:space="preserve">world-war-ii</t>
  </si>
  <si>
    <t xml:space="preserve">044-2</t>
  </si>
  <si>
    <t xml:space="preserve">One war, many fronts</t>
  </si>
  <si>
    <t xml:space="preserve">044-3</t>
  </si>
  <si>
    <t xml:space="preserve">Six million, and how we know</t>
  </si>
  <si>
    <t xml:space="preserve">044-4</t>
  </si>
  <si>
    <t xml:space="preserve">Soldiers, workers, and bombs across the world</t>
  </si>
  <si>
    <t xml:space="preserve">044-5</t>
  </si>
  <si>
    <t xml:space="preserve">Counting the dead, keeping the memory</t>
  </si>
  <si>
    <t xml:space="preserve">045-1</t>
  </si>
  <si>
    <t xml:space="preserve">Winston Churchill</t>
  </si>
  <si>
    <t xml:space="preserve">An Escape Among Coal Sacks</t>
  </si>
  <si>
    <t xml:space="preserve">winston-churchill</t>
  </si>
  <si>
    <t xml:space="preserve">045-2</t>
  </si>
  <si>
    <t xml:space="preserve">Only Blood, Toil, Tears, and Sweat</t>
  </si>
  <si>
    <t xml:space="preserve">045-3</t>
  </si>
  <si>
    <t xml:space="preserve">Blame, Warnings, and a Lost Election</t>
  </si>
  <si>
    <t xml:space="preserve">045-4</t>
  </si>
  <si>
    <t xml:space="preserve">Empire, India, and a Famine in Bengal</t>
  </si>
  <si>
    <t xml:space="preserve">045-5</t>
  </si>
  <si>
    <t xml:space="preserve">The Man Who Writes His Own History</t>
  </si>
  <si>
    <t xml:space="preserve">046-1</t>
  </si>
  <si>
    <t xml:space="preserve">The fall of the Berlin Wall</t>
  </si>
  <si>
    <t xml:space="preserve">One evening in November</t>
  </si>
  <si>
    <t xml:space="preserve">Which event is Event X?</t>
  </si>
  <si>
    <t xml:space="preserve">fall-of-the-berlin-wall</t>
  </si>
  <si>
    <t xml:space="preserve">046-2</t>
  </si>
  <si>
    <t xml:space="preserve">A city cut in two</t>
  </si>
  <si>
    <t xml:space="preserve">046-3</t>
  </si>
  <si>
    <t xml:space="preserve">A spokesman reads it wrong</t>
  </si>
  <si>
    <t xml:space="preserve">046-4</t>
  </si>
  <si>
    <t xml:space="preserve">The night the gates open</t>
  </si>
  <si>
    <t xml:space="preserve">046-5</t>
  </si>
  <si>
    <t xml:space="preserve">Planned, or by mistake</t>
  </si>
  <si>
    <t xml:space="preserve">047-1</t>
  </si>
  <si>
    <t xml:space="preserve">The first Moon landing</t>
  </si>
  <si>
    <t xml:space="preserve">A Rocket Taller Than a Building</t>
  </si>
  <si>
    <t xml:space="preserve">047-2</t>
  </si>
  <si>
    <t xml:space="preserve">A President Promises the Moon</t>
  </si>
  <si>
    <t xml:space="preserve">047-3</t>
  </si>
  <si>
    <t xml:space="preserve">Seconds of Fuel Left</t>
  </si>
  <si>
    <t xml:space="preserve">047-4</t>
  </si>
  <si>
    <t xml:space="preserve">A Rat Bites His Sister</t>
  </si>
  <si>
    <t xml:space="preserve">047-5</t>
  </si>
  <si>
    <t xml:space="preserve">Mirrors on the Moon</t>
  </si>
  <si>
    <t xml:space="preserve">048-1</t>
  </si>
  <si>
    <t xml:space="preserve">Two giants that never fight</t>
  </si>
  <si>
    <t xml:space="preserve">Which conflict is Conflict X?</t>
  </si>
  <si>
    <t xml:space="preserve">cold-war</t>
  </si>
  <si>
    <t xml:space="preserve">048-2</t>
  </si>
  <si>
    <t xml:space="preserve">Fighting through other people's wars</t>
  </si>
  <si>
    <t xml:space="preserve">048-3</t>
  </si>
  <si>
    <t xml:space="preserve">Thirteen days that shake the world</t>
  </si>
  <si>
    <t xml:space="preserve">048-4</t>
  </si>
  <si>
    <t xml:space="preserve">A rivalry that reaches every continent</t>
  </si>
  <si>
    <t xml:space="preserve">048-5</t>
  </si>
  <si>
    <t xml:space="preserve">Whose fault, and how does it end</t>
  </si>
  <si>
    <t xml:space="preserve">049-1</t>
  </si>
  <si>
    <t xml:space="preserve">Martin Luther King Jr.</t>
  </si>
  <si>
    <t xml:space="preserve">A Year Without the Bus</t>
  </si>
  <si>
    <t xml:space="preserve">049-2</t>
  </si>
  <si>
    <t xml:space="preserve">Dogs, Hoses, and a Letter from Jail</t>
  </si>
  <si>
    <t xml:space="preserve">049-3</t>
  </si>
  <si>
    <t xml:space="preserve">A Dream at the Capital</t>
  </si>
  <si>
    <t xml:space="preserve">049-4</t>
  </si>
  <si>
    <t xml:space="preserve">Too Slow for the Young</t>
  </si>
  <si>
    <t xml:space="preserve">049-5</t>
  </si>
  <si>
    <t xml:space="preserve">The Man Behind the Myth</t>
  </si>
  <si>
    <t xml:space="preserve">050-1</t>
  </si>
  <si>
    <t xml:space="preserve">Nelson Mandela</t>
  </si>
  <si>
    <t xml:space="preserve">A Boy Who Runs to the City</t>
  </si>
  <si>
    <t xml:space="preserve">050-2</t>
  </si>
  <si>
    <t xml:space="preserve">Eighteen Years on an Island</t>
  </si>
  <si>
    <t xml:space="preserve">050-3</t>
  </si>
  <si>
    <t xml:space="preserve">From Protest to Sabotage</t>
  </si>
  <si>
    <t xml:space="preserve">050-4</t>
  </si>
  <si>
    <t xml:space="preserve">From a Locked Gate to the Ballot Box</t>
  </si>
  <si>
    <t xml:space="preserve">050-5</t>
  </si>
  <si>
    <t xml:space="preserve">Hero, Compromise, or Both?</t>
  </si>
  <si>
    <t xml:space="preserve">051-1</t>
  </si>
  <si>
    <t xml:space="preserve">Louis Pasteur</t>
  </si>
  <si>
    <t xml:space="preserve">Sour Wine, Gentle Heat, and a Boy Bitten by a Dog</t>
  </si>
  <si>
    <t xml:space="preserve">louis-pasteur</t>
  </si>
  <si>
    <t xml:space="preserve">051-2</t>
  </si>
  <si>
    <t xml:space="preserve">A Bent Glass Neck, Sick Silkworms, and a Field of Sheep</t>
  </si>
  <si>
    <t xml:space="preserve">051-3</t>
  </si>
  <si>
    <t xml:space="preserve">An Idea Doctors Do Not Want to Believe</t>
  </si>
  <si>
    <t xml:space="preserve">051-4</t>
  </si>
  <si>
    <t xml:space="preserve">A New Research Center in Paris and a Life of Loss</t>
  </si>
  <si>
    <t xml:space="preserve">051-5</t>
  </si>
  <si>
    <t xml:space="preserve">Polished Notebooks and a Rival in Berlin</t>
  </si>
  <si>
    <t xml:space="preserve">052-1</t>
  </si>
  <si>
    <t xml:space="preserve">Alan Turing</t>
  </si>
  <si>
    <t xml:space="preserve">The Boy Who Loved Puzzles and Long Runs</t>
  </si>
  <si>
    <t xml:space="preserve">alan-turing</t>
  </si>
  <si>
    <t xml:space="preserve">052-2</t>
  </si>
  <si>
    <t xml:space="preserve">Bletchley Park, Enigma, and a Machine Called the Bombe</t>
  </si>
  <si>
    <t xml:space="preserve">052-3</t>
  </si>
  <si>
    <t xml:space="preserve">A Machine on Paper and a Question About Thinking</t>
  </si>
  <si>
    <t xml:space="preserve">052-4</t>
  </si>
  <si>
    <t xml:space="preserve">A Computer Design, a Chess Program, and a Marathon Runner</t>
  </si>
  <si>
    <t xml:space="preserve">052-5</t>
  </si>
  <si>
    <t xml:space="preserve">Founder, Secrets, and a Late Apology</t>
  </si>
  <si>
    <t xml:space="preserve">053-1</t>
  </si>
  <si>
    <t xml:space="preserve">Florence Nightingale</t>
  </si>
  <si>
    <t xml:space="preserve">The Rich Girl Who Wants to Nurse the Sick</t>
  </si>
  <si>
    <t xml:space="preserve">florence-nightingale</t>
  </si>
  <si>
    <t xml:space="preserve">053-2</t>
  </si>
  <si>
    <t xml:space="preserve">Thirty-Eight Nurses in a Filthy War Hospital</t>
  </si>
  <si>
    <t xml:space="preserve">053-3</t>
  </si>
  <si>
    <t xml:space="preserve">Diagrams That Explain Why Soldiers Die</t>
  </si>
  <si>
    <t xml:space="preserve">053-4</t>
  </si>
  <si>
    <t xml:space="preserve">A School, a Book, and Years in Bed</t>
  </si>
  <si>
    <t xml:space="preserve">053-5</t>
  </si>
  <si>
    <t xml:space="preserve">A Statistician, a Legend, and Another Nurse From Jamaica</t>
  </si>
  <si>
    <t xml:space="preserve">054-1</t>
  </si>
  <si>
    <t xml:space="preserve">Isaac Newton</t>
  </si>
  <si>
    <t xml:space="preserve">A Story About an Apple</t>
  </si>
  <si>
    <t xml:space="preserve">isaac-newton</t>
  </si>
  <si>
    <t xml:space="preserve">054-2</t>
  </si>
  <si>
    <t xml:space="preserve">A Prism, a Mirror, and Three Laws</t>
  </si>
  <si>
    <t xml:space="preserve">054-3</t>
  </si>
  <si>
    <t xml:space="preserve">One Force for Earth and Sky</t>
  </si>
  <si>
    <t xml:space="preserve">054-4</t>
  </si>
  <si>
    <t xml:space="preserve">A Bitter Argument, a Coin, and a Secret Furnace</t>
  </si>
  <si>
    <t xml:space="preserve">054-5</t>
  </si>
  <si>
    <t xml:space="preserve">Standing on Other Men's Work</t>
  </si>
  <si>
    <t xml:space="preserve">055-1</t>
  </si>
  <si>
    <t xml:space="preserve">Albert Einstein</t>
  </si>
  <si>
    <t xml:space="preserve">A Compass, a Desk, and a Big Question</t>
  </si>
  <si>
    <t xml:space="preserve">albert-einstein</t>
  </si>
  <si>
    <t xml:space="preserve">055-2</t>
  </si>
  <si>
    <t xml:space="preserve">One Strange Year, Then a Ship Away</t>
  </si>
  <si>
    <t xml:space="preserve">055-3</t>
  </si>
  <si>
    <t xml:space="preserve">Starlight Bends, Just as He Says</t>
  </si>
  <si>
    <t xml:space="preserve">055-4</t>
  </si>
  <si>
    <t xml:space="preserve">A Letter, a Weapon, and an Offer Refused</t>
  </si>
  <si>
    <t xml:space="preserve">055-5</t>
  </si>
  <si>
    <t xml:space="preserve">The Icon and the Man Behind It</t>
  </si>
  <si>
    <t xml:space="preserve">056-1</t>
  </si>
  <si>
    <t xml:space="preserve">Marie Curie</t>
  </si>
  <si>
    <t xml:space="preserve">A Secret School and a Glowing Jar in a Shed</t>
  </si>
  <si>
    <t xml:space="preserve">Who is Mrs X?</t>
  </si>
  <si>
    <t xml:space="preserve">marie-curie</t>
  </si>
  <si>
    <t xml:space="preserve">056-2</t>
  </si>
  <si>
    <t xml:space="preserve">Two New Elements and a Prize Never Given to a Woman Before</t>
  </si>
  <si>
    <t xml:space="preserve">056-3</t>
  </si>
  <si>
    <t xml:space="preserve">The Second Prize, and a Body Slowly Paying the Price</t>
  </si>
  <si>
    <t xml:space="preserve">056-4</t>
  </si>
  <si>
    <t xml:space="preserve">X-ray Cars at the Front, and Notebooks Locked in Lead</t>
  </si>
  <si>
    <t xml:space="preserve">056-5</t>
  </si>
  <si>
    <t xml:space="preserve">A Prize Almost Without Her Name</t>
  </si>
  <si>
    <t xml:space="preserve">057-1</t>
  </si>
  <si>
    <t xml:space="preserve">Archimedes</t>
  </si>
  <si>
    <t xml:space="preserve">The Man Who Loves Shapes and Numbers</t>
  </si>
  <si>
    <t xml:space="preserve">057-2</t>
  </si>
  <si>
    <t xml:space="preserve">The Bath, the Crown, and the Ships from Rome</t>
  </si>
  <si>
    <t xml:space="preserve">057-3</t>
  </si>
  <si>
    <t xml:space="preserve">Trapping a Number Between Two Fractions</t>
  </si>
  <si>
    <t xml:space="preserve">057-4</t>
  </si>
  <si>
    <t xml:space="preserve">Counting the Grains of Sand in the World</t>
  </si>
  <si>
    <t xml:space="preserve">057-5</t>
  </si>
  <si>
    <t xml:space="preserve">A Lost Book Hidden Under a Prayer Book</t>
  </si>
  <si>
    <t xml:space="preserve">058-1</t>
  </si>
  <si>
    <t xml:space="preserve">al-Khwarizmi</t>
  </si>
  <si>
    <t xml:space="preserve">Fair Shares in a New City</t>
  </si>
  <si>
    <t xml:space="preserve">al-khwarizmi</t>
  </si>
  <si>
    <t xml:space="preserve">058-2</t>
  </si>
  <si>
    <t xml:space="preserve">Balancing Both Sides</t>
  </si>
  <si>
    <t xml:space="preserve">058-3</t>
  </si>
  <si>
    <t xml:space="preserve">Lost in Arabic, Saved in Latin</t>
  </si>
  <si>
    <t xml:space="preserve">058-4</t>
  </si>
  <si>
    <t xml:space="preserve">A New Map of the Whole World</t>
  </si>
  <si>
    <t xml:space="preserve">058-5</t>
  </si>
  <si>
    <t xml:space="preserve">Between India, Greece, and His Own Ideas</t>
  </si>
  <si>
    <t xml:space="preserve">059-1</t>
  </si>
  <si>
    <t xml:space="preserve">Ibn Sina</t>
  </si>
  <si>
    <t xml:space="preserve">The Boy Near Bukhara Who Learns Fast</t>
  </si>
  <si>
    <t xml:space="preserve">ibn-sina</t>
  </si>
  <si>
    <t xml:space="preserve">059-2</t>
  </si>
  <si>
    <t xml:space="preserve">A Book of Medicine for Hundreds of Years</t>
  </si>
  <si>
    <t xml:space="preserve">059-3</t>
  </si>
  <si>
    <t xml:space="preserve">The Book of Healing and the Floating Man</t>
  </si>
  <si>
    <t xml:space="preserve">059-4</t>
  </si>
  <si>
    <t xml:space="preserve">Between Palaces, Prison, and a Hidden Danger</t>
  </si>
  <si>
    <t xml:space="preserve">059-5</t>
  </si>
  <si>
    <t xml:space="preserve">A Perfect Memory? What the Sources Say</t>
  </si>
  <si>
    <t xml:space="preserve">060-1</t>
  </si>
  <si>
    <t xml:space="preserve">The House of Wisdom in Baghdad</t>
  </si>
  <si>
    <t xml:space="preserve">A Round City by the River</t>
  </si>
  <si>
    <t xml:space="preserve">Which place is Place X?</t>
  </si>
  <si>
    <t xml:space="preserve">The House of Wisdom</t>
  </si>
  <si>
    <t xml:space="preserve">house-of-wisdom</t>
  </si>
  <si>
    <t xml:space="preserve">060-2</t>
  </si>
  <si>
    <t xml:space="preserve">A Team of Translators</t>
  </si>
  <si>
    <t xml:space="preserve">060-3</t>
  </si>
  <si>
    <t xml:space="preserve">Measuring the Earth, Building Machines</t>
  </si>
  <si>
    <t xml:space="preserve">060-4</t>
  </si>
  <si>
    <t xml:space="preserve">Ideas Travel West, Then the City Falls</t>
  </si>
  <si>
    <t xml:space="preserve">060-5</t>
  </si>
  <si>
    <t xml:space="preserve">Academy, Library, or Later Legend?</t>
  </si>
  <si>
    <t xml:space="preserve">061-1</t>
  </si>
  <si>
    <t xml:space="preserve">A Young Man Leaves Home</t>
  </si>
  <si>
    <t xml:space="preserve">061-2</t>
  </si>
  <si>
    <t xml:space="preserve">Down the Coast, Across the Wind</t>
  </si>
  <si>
    <t xml:space="preserve">061-3</t>
  </si>
  <si>
    <t xml:space="preserve">A Long Way East, and a Hard Way Home</t>
  </si>
  <si>
    <t xml:space="preserve">061-4</t>
  </si>
  <si>
    <t xml:space="preserve">Salt, Gold, and a Story Told Aloud</t>
  </si>
  <si>
    <t xml:space="preserve">061-5</t>
  </si>
  <si>
    <t xml:space="preserve">What He Saw, What He Copied</t>
  </si>
  <si>
    <t xml:space="preserve">062-1</t>
  </si>
  <si>
    <t xml:space="preserve">Ask your own questions</t>
  </si>
  <si>
    <t xml:space="preserve">062-2</t>
  </si>
  <si>
    <t xml:space="preserve">A book too big to stop</t>
  </si>
  <si>
    <t xml:space="preserve">062-3</t>
  </si>
  <si>
    <t xml:space="preserve">An evening of bold talk</t>
  </si>
  <si>
    <t xml:space="preserve">062-4</t>
  </si>
  <si>
    <t xml:space="preserve">The courage to think</t>
  </si>
  <si>
    <t xml:space="preserve">062-5</t>
  </si>
  <si>
    <t xml:space="preserve">Whose reason counts?</t>
  </si>
  <si>
    <t xml:space="preserve">063-1</t>
  </si>
  <si>
    <t xml:space="preserve">Norman Borlaug</t>
  </si>
  <si>
    <t xml:space="preserve">A Farm Boy in Iowa Who Studies Sick Plants</t>
  </si>
  <si>
    <t xml:space="preserve">063-2</t>
  </si>
  <si>
    <t xml:space="preserve">Two Harvests a Year and Wheat That Fights Rust</t>
  </si>
  <si>
    <t xml:space="preserve">063-3</t>
  </si>
  <si>
    <t xml:space="preserve">Ships of Seed for India and Pakistan</t>
  </si>
  <si>
    <t xml:space="preserve">063-4</t>
  </si>
  <si>
    <t xml:space="preserve">Fertilizer, Falling Water, and Debt on Small Farms</t>
  </si>
  <si>
    <t xml:space="preserve">063-5</t>
  </si>
  <si>
    <t xml:space="preserve">Feeding the World or Deepening Its Debt</t>
  </si>
  <si>
    <t xml:space="preserve">064-1</t>
  </si>
  <si>
    <t xml:space="preserve">Ships that cross the ocean for hundreds of years</t>
  </si>
  <si>
    <t xml:space="preserve">Which trade is Trade X?</t>
  </si>
  <si>
    <t xml:space="preserve">064-2</t>
  </si>
  <si>
    <t xml:space="preserve">Three steps across the ocean</t>
  </si>
  <si>
    <t xml:space="preserve">064-3</t>
  </si>
  <si>
    <t xml:space="preserve">Resistance across the ocean</t>
  </si>
  <si>
    <t xml:space="preserve">064-4</t>
  </si>
  <si>
    <t xml:space="preserve">Ending the trade, step by step</t>
  </si>
  <si>
    <t xml:space="preserve">064-5</t>
  </si>
  <si>
    <t xml:space="preserve">What the records tell historians</t>
  </si>
  <si>
    <t xml:space="preserve">065-1</t>
  </si>
  <si>
    <t xml:space="preserve">Mansa Musa</t>
  </si>
  <si>
    <t xml:space="preserve">A King's Land of Gold and Salt</t>
  </si>
  <si>
    <t xml:space="preserve">065-2</t>
  </si>
  <si>
    <t xml:space="preserve">The Caravan to a Holy City</t>
  </si>
  <si>
    <t xml:space="preserve">065-3</t>
  </si>
  <si>
    <t xml:space="preserve">A City of Books by the Desert</t>
  </si>
  <si>
    <t xml:space="preserve">065-4</t>
  </si>
  <si>
    <t xml:space="preserve">An Empire Rises and Falls</t>
  </si>
  <si>
    <t xml:space="preserve">065-5</t>
  </si>
  <si>
    <t xml:space="preserve">How Do We Know About a King Long Gone?</t>
  </si>
  <si>
    <t xml:space="preserve">066-1</t>
  </si>
  <si>
    <t xml:space="preserve">The Swahili coast</t>
  </si>
  <si>
    <t xml:space="preserve">Stone Towns by the Sea</t>
  </si>
  <si>
    <t xml:space="preserve">066-2</t>
  </si>
  <si>
    <t xml:space="preserve">Coins, Coral, and a Great Mosque</t>
  </si>
  <si>
    <t xml:space="preserve">066-3</t>
  </si>
  <si>
    <t xml:space="preserve">One Coast, Many Peoples</t>
  </si>
  <si>
    <t xml:space="preserve">066-4</t>
  </si>
  <si>
    <t xml:space="preserve">New Ships, New Rulers</t>
  </si>
  <si>
    <t xml:space="preserve">066-5</t>
  </si>
  <si>
    <t xml:space="preserve">Whose Cities Are These?</t>
  </si>
  <si>
    <t xml:space="preserve">067-1</t>
  </si>
  <si>
    <t xml:space="preserve">The Scramble for Africa</t>
  </si>
  <si>
    <t xml:space="preserve">Lines drawn far away</t>
  </si>
  <si>
    <t xml:space="preserve">067-2</t>
  </si>
  <si>
    <t xml:space="preserve">No one from Africa at the table</t>
  </si>
  <si>
    <t xml:space="preserve">067-3</t>
  </si>
  <si>
    <t xml:space="preserve">Not without a fight</t>
  </si>
  <si>
    <t xml:space="preserve">067-4</t>
  </si>
  <si>
    <t xml:space="preserve">A king's private colony</t>
  </si>
  <si>
    <t xml:space="preserve">067-5</t>
  </si>
  <si>
    <t xml:space="preserve">Why then, and whose story</t>
  </si>
  <si>
    <t xml:space="preserve">068-1</t>
  </si>
  <si>
    <t xml:space="preserve">New Flags for New Countries</t>
  </si>
  <si>
    <t xml:space="preserve">068-2</t>
  </si>
  <si>
    <t xml:space="preserve">One Country After Another</t>
  </si>
  <si>
    <t xml:space="preserve">068-3</t>
  </si>
  <si>
    <t xml:space="preserve">Freedom Won Through War</t>
  </si>
  <si>
    <t xml:space="preserve">068-4</t>
  </si>
  <si>
    <t xml:space="preserve">The Hard Years After</t>
  </si>
  <si>
    <t xml:space="preserve">068-5</t>
  </si>
  <si>
    <t xml:space="preserve">Was It Real Freedom?</t>
  </si>
  <si>
    <t xml:space="preserve">069-1</t>
  </si>
  <si>
    <t xml:space="preserve">A Road Made of Many Roads</t>
  </si>
  <si>
    <t xml:space="preserve">Which road is Road X?</t>
  </si>
  <si>
    <t xml:space="preserve">069-2</t>
  </si>
  <si>
    <t xml:space="preserve">An Envoy Opens the Way West</t>
  </si>
  <si>
    <t xml:space="preserve">069-3</t>
  </si>
  <si>
    <t xml:space="preserve">Ideas Travel Along the Road</t>
  </si>
  <si>
    <t xml:space="preserve">069-4</t>
  </si>
  <si>
    <t xml:space="preserve">Peace, a Traveler, and a Great Plague</t>
  </si>
  <si>
    <t xml:space="preserve">069-5</t>
  </si>
  <si>
    <t xml:space="preserve">One Name for Many Roads</t>
  </si>
  <si>
    <t xml:space="preserve">070-1</t>
  </si>
  <si>
    <t xml:space="preserve">Ashoka</t>
  </si>
  <si>
    <t xml:space="preserve">An Emperor Who Stops Fighting</t>
  </si>
  <si>
    <t xml:space="preserve">070-2</t>
  </si>
  <si>
    <t xml:space="preserve">Words on a Rock, After Kalinga</t>
  </si>
  <si>
    <t xml:space="preserve">070-3</t>
  </si>
  <si>
    <t xml:space="preserve">Rules for Every Faith and Many Animals</t>
  </si>
  <si>
    <t xml:space="preserve">070-4</t>
  </si>
  <si>
    <t xml:space="preserve">Silent for Two Thousand Years</t>
  </si>
  <si>
    <t xml:space="preserve">070-5</t>
  </si>
  <si>
    <t xml:space="preserve">Edicts and Legends</t>
  </si>
  <si>
    <t xml:space="preserve">071-1</t>
  </si>
  <si>
    <t xml:space="preserve">The Boy Who Leads a Giant Fleet</t>
  </si>
  <si>
    <t xml:space="preserve">Who is Admiral X?</t>
  </si>
  <si>
    <t xml:space="preserve">071-2</t>
  </si>
  <si>
    <t xml:space="preserve">Seven Journeys Across the Indian Ocean</t>
  </si>
  <si>
    <t xml:space="preserve">071-3</t>
  </si>
  <si>
    <t xml:space="preserve">Fights on Two Islands and a Pirate Fleet</t>
  </si>
  <si>
    <t xml:space="preserve">071-4</t>
  </si>
  <si>
    <t xml:space="preserve">Why the Great Fleets Stop Sailing</t>
  </si>
  <si>
    <t xml:space="preserve">071-5</t>
  </si>
  <si>
    <t xml:space="preserve">How Big Were the Ships, Really?</t>
  </si>
  <si>
    <t xml:space="preserve">072-1</t>
  </si>
  <si>
    <t xml:space="preserve">Qin Shi Huangdi</t>
  </si>
  <si>
    <t xml:space="preserve">One Country, One System</t>
  </si>
  <si>
    <t xml:space="preserve">072-2</t>
  </si>
  <si>
    <t xml:space="preserve">A Hidden Dagger, New Roads, a Long Wall</t>
  </si>
  <si>
    <t xml:space="preserve">072-3</t>
  </si>
  <si>
    <t xml:space="preserve">Burned Books and a Medicine for Ever</t>
  </si>
  <si>
    <t xml:space="preserve">072-4</t>
  </si>
  <si>
    <t xml:space="preserve">An Army Beneath the Ground</t>
  </si>
  <si>
    <t xml:space="preserve">072-5</t>
  </si>
  <si>
    <t xml:space="preserve">Tyrant or Founder?</t>
  </si>
  <si>
    <t xml:space="preserve">073-1</t>
  </si>
  <si>
    <t xml:space="preserve">Akbar</t>
  </si>
  <si>
    <t xml:space="preserve">He Cannot Read, but Loves to Listen</t>
  </si>
  <si>
    <t xml:space="preserve">073-2</t>
  </si>
  <si>
    <t xml:space="preserve">An Empire Grows, and an Old Tax Ends</t>
  </si>
  <si>
    <t xml:space="preserve">073-3</t>
  </si>
  <si>
    <t xml:space="preserve">A Hall Where Every Belief Has a Voice</t>
  </si>
  <si>
    <t xml:space="preserve">073-4</t>
  </si>
  <si>
    <t xml:space="preserve">Running an Empire, Leaving a City</t>
  </si>
  <si>
    <t xml:space="preserve">073-5</t>
  </si>
  <si>
    <t xml:space="preserve">Two Chroniclers, One Debated Legacy</t>
  </si>
  <si>
    <t xml:space="preserve">074-1</t>
  </si>
  <si>
    <t xml:space="preserve">Black ships in the bay</t>
  </si>
  <si>
    <t xml:space="preserve">074-2</t>
  </si>
  <si>
    <t xml:space="preserve">One port, then unfair deals</t>
  </si>
  <si>
    <t xml:space="preserve">074-3</t>
  </si>
  <si>
    <t xml:space="preserve">A mission abroad, then a wave of new laws</t>
  </si>
  <si>
    <t xml:space="preserve">074-4</t>
  </si>
  <si>
    <t xml:space="preserve">A new army, a new price</t>
  </si>
  <si>
    <t xml:space="preserve">074-5</t>
  </si>
  <si>
    <t xml:space="preserve">Revolution from above</t>
  </si>
  <si>
    <t xml:space="preserve">075-1</t>
  </si>
  <si>
    <t xml:space="preserve">Pyramids in the Jungle</t>
  </si>
  <si>
    <t xml:space="preserve">075-2</t>
  </si>
  <si>
    <t xml:space="preserve">Many Cities, One People</t>
  </si>
  <si>
    <t xml:space="preserve">075-3</t>
  </si>
  <si>
    <t xml:space="preserve">Star Charts and Burned Books</t>
  </si>
  <si>
    <t xml:space="preserve">075-4</t>
  </si>
  <si>
    <t xml:space="preserve">Silent Cities</t>
  </si>
  <si>
    <t xml:space="preserve">075-5</t>
  </si>
  <si>
    <t xml:space="preserve">Reading the Silent Signs</t>
  </si>
  <si>
    <t xml:space="preserve">076-1</t>
  </si>
  <si>
    <t xml:space="preserve">The Aztecs</t>
  </si>
  <si>
    <t xml:space="preserve">A City in the Middle of a Lake</t>
  </si>
  <si>
    <t xml:space="preserve">076-2</t>
  </si>
  <si>
    <t xml:space="preserve">A Story of a New City</t>
  </si>
  <si>
    <t xml:space="preserve">076-3</t>
  </si>
  <si>
    <t xml:space="preserve">The City Falls</t>
  </si>
  <si>
    <t xml:space="preserve">076-4</t>
  </si>
  <si>
    <t xml:space="preserve">Words from a Lost World</t>
  </si>
  <si>
    <t xml:space="preserve">076-5</t>
  </si>
  <si>
    <t xml:space="preserve">Writing the Fall of a City</t>
  </si>
  <si>
    <t xml:space="preserve">077-1</t>
  </si>
  <si>
    <t xml:space="preserve">The Inca</t>
  </si>
  <si>
    <t xml:space="preserve">High Fields and Rope Bridges</t>
  </si>
  <si>
    <t xml:space="preserve">077-2</t>
  </si>
  <si>
    <t xml:space="preserve">The Empire of Four Parts</t>
  </si>
  <si>
    <t xml:space="preserve">077-3</t>
  </si>
  <si>
    <t xml:space="preserve">A Royal Town in the Clouds</t>
  </si>
  <si>
    <t xml:space="preserve">077-4</t>
  </si>
  <si>
    <t xml:space="preserve">A Room Filled with Gold</t>
  </si>
  <si>
    <t xml:space="preserve">077-5</t>
  </si>
  <si>
    <t xml:space="preserve">The Knots That Still Puzzle Us</t>
  </si>
  <si>
    <t xml:space="preserve">078-1</t>
  </si>
  <si>
    <t xml:space="preserve">The Haitian Revolution</t>
  </si>
  <si>
    <t xml:space="preserve">Rising from the sugar fields</t>
  </si>
  <si>
    <t xml:space="preserve">haitian-revolution</t>
  </si>
  <si>
    <t xml:space="preserve">078-2</t>
  </si>
  <si>
    <t xml:space="preserve">A meeting in the forest</t>
  </si>
  <si>
    <t xml:space="preserve">078-3</t>
  </si>
  <si>
    <t xml:space="preserve">An army crosses the ocean</t>
  </si>
  <si>
    <t xml:space="preserve">078-4</t>
  </si>
  <si>
    <t xml:space="preserve">The price of freedom</t>
  </si>
  <si>
    <t xml:space="preserve">078-5</t>
  </si>
  <si>
    <t xml:space="preserve">The revolt Europe forgot</t>
  </si>
  <si>
    <t xml:space="preserve">079-1</t>
  </si>
  <si>
    <t xml:space="preserve">Simón Bolívar</t>
  </si>
  <si>
    <t xml:space="preserve">A Boy Who Loses Everything and Returns to Fight</t>
  </si>
  <si>
    <t xml:space="preserve">simon-bolivar</t>
  </si>
  <si>
    <t xml:space="preserve">079-2</t>
  </si>
  <si>
    <t xml:space="preserve">An Oath in Rome, an Army in the Andes</t>
  </si>
  <si>
    <t xml:space="preserve">079-3</t>
  </si>
  <si>
    <t xml:space="preserve">Two Generals Meet in Guayaquil</t>
  </si>
  <si>
    <t xml:space="preserve">079-4</t>
  </si>
  <si>
    <t xml:space="preserve">The Man Who Takes All the Power</t>
  </si>
  <si>
    <t xml:space="preserve">079-5</t>
  </si>
  <si>
    <t xml:space="preserve">Hero or Dictator?</t>
  </si>
  <si>
    <t xml:space="preserve">080-1</t>
  </si>
  <si>
    <t xml:space="preserve">From small state to empire</t>
  </si>
  <si>
    <t xml:space="preserve">Which empire is Empire X?</t>
  </si>
  <si>
    <t xml:space="preserve">080-2</t>
  </si>
  <si>
    <t xml:space="preserve">Guns, laws, and boy soldiers</t>
  </si>
  <si>
    <t xml:space="preserve">080-3</t>
  </si>
  <si>
    <t xml:space="preserve">Many peoples, one empire</t>
  </si>
  <si>
    <t xml:space="preserve">080-4</t>
  </si>
  <si>
    <t xml:space="preserve">The sick man of Europe</t>
  </si>
  <si>
    <t xml:space="preserve">080-5</t>
  </si>
  <si>
    <t xml:space="preserve">Decline, or something else?</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</si>
</sst>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name val="Arial"/>
      <family val="0"/>
      <charset val="1"/>
    </font>
    <font>
      <b val="true"/>
      <sz val="12"/>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Cardsbylevel" displayName="Cardsbylevel" ref="A1:R213" headerRowCount="1" totalsRowCount="0" totalsRowShown="0">
  <autoFilter ref="A1:R213"/>
  <tableColumns count="18">
    <tableColumn id="1" name="Topic ID"/>
    <tableColumn id="2" name="Tier"/>
    <tableColumn id="3" name="Topic"/>
    <tableColumn id="4" name="L1"/>
    <tableColumn id="5" name="L2"/>
    <tableColumn id="6" name="L3"/>
    <tableColumn id="7" name="L4"/>
    <tableColumn id="8" name="L5"/>
    <tableColumn id="9" name="L6"/>
    <tableColumn id="10" name="L7"/>
    <tableColumn id="11" name="L8"/>
    <tableColumn id="12" name="L9"/>
    <tableColumn id="13" name="L10"/>
    <tableColumn id="14" name="L11"/>
    <tableColumn id="15" name="L12"/>
    <tableColumn id="16" name="U"/>
    <tableColumn id="17" name="Total"/>
    <tableColumn id="18" name="Check"/>
  </tableColumns>
</table>
</file>

<file path=xl/tables/table2.xml><?xml version="1.0" encoding="utf-8"?>
<table xmlns="http://schemas.openxmlformats.org/spreadsheetml/2006/main" id="2" name="Existingcards" displayName="Existingcards" ref="A1:J401" headerRowCount="1" totalsRowCount="0" totalsRowShown="0">
  <autoFilter ref="A1:J401"/>
  <tableColumns count="10">
    <tableColumn id="1" name="Card ID"/>
    <tableColumn id="2" name="Topic"/>
    <tableColumn id="3" name="Card"/>
    <tableColumn id="4" name="Level"/>
    <tableColumn id="5" name="Tier"/>
    <tableColumn id="6" name="Title"/>
    <tableColumn id="7" name="Question"/>
    <tableColumn id="8" name="Answer"/>
    <tableColumn id="9" name="Map row"/>
    <tableColumn id="10" name="Card set"/>
  </tableColumns>
</table>
</file>

<file path=xl/tables/table3.xml><?xml version="1.0" encoding="utf-8"?>
<table xmlns="http://schemas.openxmlformats.org/spreadsheetml/2006/main" id="3" name="Leveloutcomes" displayName="Leveloutcomes" ref="A1:F104" headerRowCount="1" totalsRowCount="0" totalsRowShown="0">
  <autoFilter ref="A1:F104"/>
  <tableColumns count="6">
    <tableColumn id="1" name="Level"/>
    <tableColumn id="2" name="Tier"/>
    <tableColumn id="3" name="Outcome ID"/>
    <tableColumn id="4" name="By the end of the level, students can"/>
    <tableColumn id="5" name="Standard mapping"/>
    <tableColumn id="6" name="Topic rows that teach it"/>
  </tableColumns>
</table>
</file>

<file path=xl/tables/table4.xml><?xml version="1.0" encoding="utf-8"?>
<table xmlns="http://schemas.openxmlformats.org/spreadsheetml/2006/main" id="4" name="Standards" displayName="Standards" ref="A1:F15" headerRowCount="1" totalsRowCount="0" totalsRowShown="0">
  <autoFilter ref="A1:F15"/>
  <tableColumns count="6">
    <tableColumn id="1" name="Role"/>
    <tableColumn id="2" name="Standard"/>
    <tableColumn id="3" name="Code and version"/>
    <tableColumn id="4" name="Levels"/>
    <tableColumn id="5" name="Used for"/>
    <tableColumn id="6" name="Link"/>
  </tableColumns>
</table>
</file>

<file path=xl/tables/table5.xml><?xml version="1.0" encoding="utf-8"?>
<table xmlns="http://schemas.openxmlformats.org/spreadsheetml/2006/main" id="5" name="Tiers" displayName="Tiers" ref="A1:E5" headerRowCount="1" totalsRowCount="0" totalsRowShown="0">
  <autoFilter ref="A1:E5"/>
  <tableColumns count="5">
    <tableColumn id="1" name="Tier"/>
    <tableColumn id="2" name="Levels"/>
    <tableColumn id="3" name="What the tier covers"/>
    <tableColumn id="4" name="What a card looks like"/>
    <tableColumn id="5" name="Cards"/>
  </tableColumns>
</table>
</file>

<file path=xl/tables/table6.xml><?xml version="1.0" encoding="utf-8"?>
<table xmlns="http://schemas.openxmlformats.org/spreadsheetml/2006/main" id="6" name="Topics" displayName="Topics" ref="A1:Q213" headerRowCount="1" totalsRowCount="0" totalsRowShown="0">
  <autoFilter ref="A1:Q213"/>
  <tableColumns count="17">
    <tableColumn id="1" name="Topic ID"/>
    <tableColumn id="2" name="Tier"/>
    <tableColumn id="3" name="Levels"/>
    <tableColumn id="4" name="Topic"/>
    <tableColumn id="5" name="Key content"/>
    <tableColumn id="6" name="Era"/>
    <tableColumn id="7" name="Region"/>
    <tableColumn id="8" name="Strand"/>
    <tableColumn id="9" name="Status"/>
    <tableColumn id="10" name="Phase"/>
    <tableColumn id="11" name="Existing cards"/>
    <tableColumn id="12" name="New cards"/>
    <tableColumn id="13" name="Total cards"/>
    <tableColumn id="14" name="Outcomes"/>
    <tableColumn id="15" name="Standard mapping"/>
    <tableColumn id="16" name="Existing card set"/>
    <tableColumn id="17"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3" t="s">
        <v>14</v>
      </c>
    </row>
    <row r="19" customFormat="false" ht="35.0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3" t="s">
        <v>16</v>
      </c>
    </row>
    <row r="22" customFormat="false" ht="35.05" hidden="false" customHeight="false" outlineLevel="0" collapsed="false">
      <c r="A22" s="4" t="s">
        <v>17</v>
      </c>
    </row>
    <row r="23" customFormat="false" ht="68.65" hidden="false" customHeight="false" outlineLevel="0" collapsed="false">
      <c r="A23" s="2" t="s">
        <v>18</v>
      </c>
    </row>
    <row r="24" customFormat="false" ht="113.4" hidden="false" customHeight="false" outlineLevel="0" collapsed="false">
      <c r="A24" s="2" t="s">
        <v>19</v>
      </c>
    </row>
    <row r="25" customFormat="false" ht="46.25" hidden="false" customHeight="false" outlineLevel="0" collapsed="false">
      <c r="A25" s="2" t="s">
        <v>20</v>
      </c>
    </row>
    <row r="26" customFormat="false" ht="15" hidden="false" customHeight="false" outlineLevel="0" collapsed="false">
      <c r="A26" s="2"/>
    </row>
    <row r="27" customFormat="false" ht="15" hidden="false" customHeight="false" outlineLevel="0" collapsed="false">
      <c r="A27" s="3" t="s">
        <v>21</v>
      </c>
    </row>
    <row r="28" customFormat="false" ht="68.65" hidden="false" customHeight="false" outlineLevel="0" collapsed="false">
      <c r="A28" s="2" t="s">
        <v>22</v>
      </c>
    </row>
    <row r="29" customFormat="false" ht="15" hidden="false" customHeight="false" outlineLevel="0" collapsed="false">
      <c r="A29" s="2"/>
    </row>
    <row r="30" customFormat="false" ht="15" hidden="false" customHeight="false" outlineLevel="0" collapsed="false">
      <c r="A30" s="3" t="s">
        <v>23</v>
      </c>
    </row>
    <row r="31" customFormat="false" ht="46.25" hidden="false" customHeight="false" outlineLevel="0" collapsed="false">
      <c r="A31"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6" min="2" style="0" width="14"/>
  </cols>
  <sheetData>
    <row r="1" customFormat="false" ht="15" hidden="false" customHeight="false" outlineLevel="0" collapsed="false">
      <c r="A1" s="5" t="s">
        <v>25</v>
      </c>
      <c r="B1" s="6"/>
      <c r="C1" s="6"/>
      <c r="D1" s="6"/>
      <c r="E1" s="6"/>
      <c r="F1" s="6"/>
    </row>
    <row r="2" customFormat="false" ht="15" hidden="false" customHeight="false" outlineLevel="0" collapsed="false">
      <c r="A2" s="7" t="s">
        <v>26</v>
      </c>
      <c r="B2" s="7" t="s">
        <v>27</v>
      </c>
      <c r="C2" s="7" t="s">
        <v>28</v>
      </c>
      <c r="D2" s="7" t="s">
        <v>29</v>
      </c>
      <c r="E2" s="7" t="s">
        <v>30</v>
      </c>
      <c r="F2" s="7" t="s">
        <v>31</v>
      </c>
    </row>
    <row r="3" customFormat="false" ht="15" hidden="false" customHeight="false" outlineLevel="0" collapsed="false">
      <c r="A3" s="6" t="s">
        <v>32</v>
      </c>
      <c r="B3" s="6" t="n">
        <f aca="false">COUNTIF(Topics!$B$2:$B$213,A3)</f>
        <v>31</v>
      </c>
      <c r="C3" s="6" t="n">
        <f aca="false">SUMIF(Topics!$B$2:$B$213,A3,Topics!$K$2:$K$213)</f>
        <v>0</v>
      </c>
      <c r="D3" s="6" t="n">
        <f aca="false">SUMIF(Topics!$B$2:$B$213,A3,Topics!$L$2:$L$213)</f>
        <v>223</v>
      </c>
      <c r="E3" s="6" t="n">
        <f aca="false">C3+D3</f>
        <v>223</v>
      </c>
      <c r="F3" s="8" t="n">
        <f aca="false">IF($E$7=0,0,E3/$E$7)</f>
        <v>0.146807109940751</v>
      </c>
    </row>
    <row r="4" customFormat="false" ht="15" hidden="false" customHeight="false" outlineLevel="0" collapsed="false">
      <c r="A4" s="6" t="s">
        <v>33</v>
      </c>
      <c r="B4" s="6" t="n">
        <f aca="false">COUNTIF(Topics!$B$2:$B$213,A4)</f>
        <v>46</v>
      </c>
      <c r="C4" s="6" t="n">
        <f aca="false">SUMIF(Topics!$B$2:$B$213,A4,Topics!$K$2:$K$213)</f>
        <v>80</v>
      </c>
      <c r="D4" s="6" t="n">
        <f aca="false">SUMIF(Topics!$B$2:$B$213,A4,Topics!$L$2:$L$213)</f>
        <v>240</v>
      </c>
      <c r="E4" s="6" t="n">
        <f aca="false">C4+D4</f>
        <v>320</v>
      </c>
      <c r="F4" s="8" t="n">
        <f aca="false">IF($E$7=0,0,E4/$E$7)</f>
        <v>0.210664911125741</v>
      </c>
    </row>
    <row r="5" customFormat="false" ht="15" hidden="false" customHeight="false" outlineLevel="0" collapsed="false">
      <c r="A5" s="6" t="s">
        <v>34</v>
      </c>
      <c r="B5" s="6" t="n">
        <f aca="false">COUNTIF(Topics!$B$2:$B$213,A5)</f>
        <v>72</v>
      </c>
      <c r="C5" s="6" t="n">
        <f aca="false">SUMIF(Topics!$B$2:$B$213,A5,Topics!$K$2:$K$213)</f>
        <v>80</v>
      </c>
      <c r="D5" s="6" t="n">
        <f aca="false">SUMIF(Topics!$B$2:$B$213,A5,Topics!$L$2:$L$213)</f>
        <v>325</v>
      </c>
      <c r="E5" s="6" t="n">
        <f aca="false">C5+D5</f>
        <v>405</v>
      </c>
      <c r="F5" s="8" t="n">
        <f aca="false">IF($E$7=0,0,E5/$E$7)</f>
        <v>0.266622778143516</v>
      </c>
    </row>
    <row r="6" customFormat="false" ht="15" hidden="false" customHeight="false" outlineLevel="0" collapsed="false">
      <c r="A6" s="6" t="s">
        <v>35</v>
      </c>
      <c r="B6" s="6" t="n">
        <f aca="false">COUNTIF(Topics!$B$2:$B$213,A6)</f>
        <v>63</v>
      </c>
      <c r="C6" s="6" t="n">
        <f aca="false">SUMIF(Topics!$B$2:$B$213,A6,Topics!$K$2:$K$213)</f>
        <v>240</v>
      </c>
      <c r="D6" s="6" t="n">
        <f aca="false">SUMIF(Topics!$B$2:$B$213,A6,Topics!$L$2:$L$213)</f>
        <v>331</v>
      </c>
      <c r="E6" s="6" t="n">
        <f aca="false">C6+D6</f>
        <v>571</v>
      </c>
      <c r="F6" s="8" t="n">
        <f aca="false">IF($E$7=0,0,E6/$E$7)</f>
        <v>0.375905200789993</v>
      </c>
    </row>
    <row r="7" customFormat="false" ht="15" hidden="false" customHeight="false" outlineLevel="0" collapsed="false">
      <c r="A7" s="9" t="s">
        <v>36</v>
      </c>
      <c r="B7" s="9" t="n">
        <f aca="false">SUM(B3:B6)</f>
        <v>212</v>
      </c>
      <c r="C7" s="9" t="n">
        <f aca="false">SUM(C3:C6)</f>
        <v>400</v>
      </c>
      <c r="D7" s="9" t="n">
        <f aca="false">SUM(D3:D6)</f>
        <v>1119</v>
      </c>
      <c r="E7" s="9" t="n">
        <f aca="false">SUM(E3:E6)</f>
        <v>1519</v>
      </c>
      <c r="F7" s="8" t="n">
        <f aca="false">IF($E$7=0,0,E7/$E$7)</f>
        <v>1</v>
      </c>
    </row>
    <row r="8" customFormat="false" ht="15" hidden="false" customHeight="false" outlineLevel="0" collapsed="false">
      <c r="A8" s="6"/>
      <c r="B8" s="6"/>
      <c r="C8" s="6"/>
      <c r="D8" s="6"/>
      <c r="E8" s="6"/>
      <c r="F8" s="6"/>
    </row>
    <row r="9" customFormat="false" ht="15" hidden="false" customHeight="false" outlineLevel="0" collapsed="false">
      <c r="A9" s="5" t="s">
        <v>37</v>
      </c>
      <c r="B9" s="6"/>
      <c r="C9" s="6"/>
      <c r="D9" s="6"/>
      <c r="E9" s="6"/>
      <c r="F9" s="6"/>
    </row>
    <row r="10" customFormat="false" ht="15" hidden="false" customHeight="false" outlineLevel="0" collapsed="false">
      <c r="A10" s="7" t="s">
        <v>38</v>
      </c>
      <c r="B10" s="7" t="s">
        <v>28</v>
      </c>
      <c r="C10" s="7" t="s">
        <v>29</v>
      </c>
      <c r="D10" s="7" t="s">
        <v>30</v>
      </c>
      <c r="E10" s="6"/>
      <c r="F10" s="6"/>
    </row>
    <row r="11" customFormat="false" ht="15" hidden="false" customHeight="false" outlineLevel="0" collapsed="false">
      <c r="A11" s="6" t="s">
        <v>39</v>
      </c>
      <c r="B11" s="6" t="n">
        <f aca="false">COUNTIF('Existing cards'!$D$2:$D$401,"H 1")</f>
        <v>0</v>
      </c>
      <c r="C11" s="6" t="n">
        <f aca="false">D11-B11</f>
        <v>51</v>
      </c>
      <c r="D11" s="6" t="n">
        <f aca="false">SUM('Cards by level'!D2:D213)</f>
        <v>51</v>
      </c>
      <c r="E11" s="6"/>
      <c r="F11" s="6"/>
    </row>
    <row r="12" customFormat="false" ht="15" hidden="false" customHeight="false" outlineLevel="0" collapsed="false">
      <c r="A12" s="6" t="s">
        <v>40</v>
      </c>
      <c r="B12" s="6" t="n">
        <f aca="false">COUNTIF('Existing cards'!$D$2:$D$401,"H 2")</f>
        <v>0</v>
      </c>
      <c r="C12" s="6" t="n">
        <f aca="false">D12-B12</f>
        <v>68</v>
      </c>
      <c r="D12" s="6" t="n">
        <f aca="false">SUM('Cards by level'!E2:E213)</f>
        <v>68</v>
      </c>
      <c r="E12" s="6"/>
      <c r="F12" s="6"/>
    </row>
    <row r="13" customFormat="false" ht="15" hidden="false" customHeight="false" outlineLevel="0" collapsed="false">
      <c r="A13" s="6" t="s">
        <v>41</v>
      </c>
      <c r="B13" s="6" t="n">
        <f aca="false">COUNTIF('Existing cards'!$D$2:$D$401,"H 3")</f>
        <v>0</v>
      </c>
      <c r="C13" s="6" t="n">
        <f aca="false">D13-B13</f>
        <v>104</v>
      </c>
      <c r="D13" s="6" t="n">
        <f aca="false">SUM('Cards by level'!F2:F213)</f>
        <v>104</v>
      </c>
      <c r="E13" s="6"/>
      <c r="F13" s="6"/>
    </row>
    <row r="14" customFormat="false" ht="15" hidden="false" customHeight="false" outlineLevel="0" collapsed="false">
      <c r="A14" s="6" t="s">
        <v>42</v>
      </c>
      <c r="B14" s="6" t="n">
        <f aca="false">COUNTIF('Existing cards'!$D$2:$D$401,"H 4")</f>
        <v>0</v>
      </c>
      <c r="C14" s="6" t="n">
        <f aca="false">D14-B14</f>
        <v>62</v>
      </c>
      <c r="D14" s="6" t="n">
        <f aca="false">SUM('Cards by level'!G2:G213)</f>
        <v>62</v>
      </c>
      <c r="E14" s="6"/>
      <c r="F14" s="6"/>
    </row>
    <row r="15" customFormat="false" ht="15" hidden="false" customHeight="false" outlineLevel="0" collapsed="false">
      <c r="A15" s="6" t="s">
        <v>43</v>
      </c>
      <c r="B15" s="6" t="n">
        <f aca="false">COUNTIF('Existing cards'!$D$2:$D$401,"H 5")</f>
        <v>0</v>
      </c>
      <c r="C15" s="6" t="n">
        <f aca="false">D15-B15</f>
        <v>87</v>
      </c>
      <c r="D15" s="6" t="n">
        <f aca="false">SUM('Cards by level'!H2:H213)</f>
        <v>87</v>
      </c>
      <c r="E15" s="6"/>
      <c r="F15" s="6"/>
    </row>
    <row r="16" customFormat="false" ht="15" hidden="false" customHeight="false" outlineLevel="0" collapsed="false">
      <c r="A16" s="6" t="s">
        <v>44</v>
      </c>
      <c r="B16" s="6" t="n">
        <f aca="false">COUNTIF('Existing cards'!$D$2:$D$401,"H 6")</f>
        <v>80</v>
      </c>
      <c r="C16" s="6" t="n">
        <f aca="false">D16-B16</f>
        <v>91</v>
      </c>
      <c r="D16" s="6" t="n">
        <f aca="false">SUM('Cards by level'!I2:I213)</f>
        <v>171</v>
      </c>
      <c r="E16" s="6"/>
      <c r="F16" s="6"/>
    </row>
    <row r="17" customFormat="false" ht="15" hidden="false" customHeight="false" outlineLevel="0" collapsed="false">
      <c r="A17" s="6" t="s">
        <v>45</v>
      </c>
      <c r="B17" s="6" t="n">
        <f aca="false">COUNTIF('Existing cards'!$D$2:$D$401,"H 7")</f>
        <v>0</v>
      </c>
      <c r="C17" s="6" t="n">
        <f aca="false">D17-B17</f>
        <v>120</v>
      </c>
      <c r="D17" s="6" t="n">
        <f aca="false">SUM('Cards by level'!J2:J213)</f>
        <v>120</v>
      </c>
      <c r="E17" s="6"/>
      <c r="F17" s="6"/>
    </row>
    <row r="18" customFormat="false" ht="15" hidden="false" customHeight="false" outlineLevel="0" collapsed="false">
      <c r="A18" s="6" t="s">
        <v>46</v>
      </c>
      <c r="B18" s="6" t="n">
        <f aca="false">COUNTIF('Existing cards'!$D$2:$D$401,"H 8")</f>
        <v>0</v>
      </c>
      <c r="C18" s="6" t="n">
        <f aca="false">D18-B18</f>
        <v>100</v>
      </c>
      <c r="D18" s="6" t="n">
        <f aca="false">SUM('Cards by level'!K2:K213)</f>
        <v>100</v>
      </c>
      <c r="E18" s="6"/>
      <c r="F18" s="6"/>
    </row>
    <row r="19" customFormat="false" ht="15" hidden="false" customHeight="false" outlineLevel="0" collapsed="false">
      <c r="A19" s="6" t="s">
        <v>47</v>
      </c>
      <c r="B19" s="6" t="n">
        <f aca="false">COUNTIF('Existing cards'!$D$2:$D$401,"H 9")</f>
        <v>80</v>
      </c>
      <c r="C19" s="6" t="n">
        <f aca="false">D19-B19</f>
        <v>105</v>
      </c>
      <c r="D19" s="6" t="n">
        <f aca="false">SUM('Cards by level'!L2:L213)</f>
        <v>185</v>
      </c>
      <c r="E19" s="6"/>
      <c r="F19" s="6"/>
    </row>
    <row r="20" customFormat="false" ht="15" hidden="false" customHeight="false" outlineLevel="0" collapsed="false">
      <c r="A20" s="6" t="s">
        <v>48</v>
      </c>
      <c r="B20" s="6" t="n">
        <f aca="false">COUNTIF('Existing cards'!$D$2:$D$401,"H 10")</f>
        <v>0</v>
      </c>
      <c r="C20" s="6" t="n">
        <f aca="false">D20-B20</f>
        <v>89</v>
      </c>
      <c r="D20" s="6" t="n">
        <f aca="false">SUM('Cards by level'!M2:M213)</f>
        <v>89</v>
      </c>
      <c r="E20" s="6"/>
      <c r="F20" s="6"/>
    </row>
    <row r="21" customFormat="false" ht="15" hidden="false" customHeight="false" outlineLevel="0" collapsed="false">
      <c r="A21" s="6" t="s">
        <v>49</v>
      </c>
      <c r="B21" s="6" t="n">
        <f aca="false">COUNTIF('Existing cards'!$D$2:$D$401,"H 11")</f>
        <v>0</v>
      </c>
      <c r="C21" s="6" t="n">
        <f aca="false">D21-B21</f>
        <v>125</v>
      </c>
      <c r="D21" s="6" t="n">
        <f aca="false">SUM('Cards by level'!N2:N213)</f>
        <v>125</v>
      </c>
      <c r="E21" s="6"/>
      <c r="F21" s="6"/>
    </row>
    <row r="22" customFormat="false" ht="15" hidden="false" customHeight="false" outlineLevel="0" collapsed="false">
      <c r="A22" s="6" t="s">
        <v>50</v>
      </c>
      <c r="B22" s="6" t="n">
        <f aca="false">COUNTIF('Existing cards'!$D$2:$D$401,"H 12")</f>
        <v>160</v>
      </c>
      <c r="C22" s="6" t="n">
        <f aca="false">D22-B22</f>
        <v>78</v>
      </c>
      <c r="D22" s="6" t="n">
        <f aca="false">SUM('Cards by level'!O2:O213)</f>
        <v>238</v>
      </c>
      <c r="E22" s="6"/>
      <c r="F22" s="6"/>
    </row>
    <row r="23" customFormat="false" ht="15" hidden="false" customHeight="false" outlineLevel="0" collapsed="false">
      <c r="A23" s="6" t="s">
        <v>51</v>
      </c>
      <c r="B23" s="6" t="n">
        <f aca="false">COUNTIF('Existing cards'!$D$2:$D$401,"H U")</f>
        <v>80</v>
      </c>
      <c r="C23" s="6" t="n">
        <f aca="false">D23-B23</f>
        <v>39</v>
      </c>
      <c r="D23" s="6" t="n">
        <f aca="false">SUM('Cards by level'!P2:P213)</f>
        <v>119</v>
      </c>
      <c r="E23" s="6"/>
      <c r="F23" s="6"/>
    </row>
    <row r="24" customFormat="false" ht="15" hidden="false" customHeight="false" outlineLevel="0" collapsed="false">
      <c r="A24" s="9" t="s">
        <v>52</v>
      </c>
      <c r="B24" s="9" t="n">
        <f aca="false">SUM(B11:B23)</f>
        <v>400</v>
      </c>
      <c r="C24" s="9" t="n">
        <f aca="false">SUM(C11:C23)</f>
        <v>1119</v>
      </c>
      <c r="D24" s="9" t="n">
        <f aca="false">SUM(D11:D23)</f>
        <v>1519</v>
      </c>
      <c r="E24" s="6"/>
      <c r="F24" s="6"/>
    </row>
    <row r="25" customFormat="false" ht="15" hidden="false" customHeight="false" outlineLevel="0" collapsed="false">
      <c r="A25" s="6"/>
      <c r="B25" s="6"/>
      <c r="C25" s="6"/>
      <c r="D25" s="6"/>
      <c r="E25" s="6"/>
      <c r="F25" s="6"/>
    </row>
    <row r="26" customFormat="false" ht="15" hidden="false" customHeight="false" outlineLevel="0" collapsed="false">
      <c r="A26" s="5" t="s">
        <v>53</v>
      </c>
      <c r="B26" s="6"/>
      <c r="C26" s="6"/>
      <c r="D26" s="6"/>
      <c r="E26" s="6"/>
      <c r="F26" s="6"/>
    </row>
    <row r="27" customFormat="false" ht="15" hidden="false" customHeight="false" outlineLevel="0" collapsed="false">
      <c r="A27" s="7" t="s">
        <v>54</v>
      </c>
      <c r="B27" s="7" t="s">
        <v>27</v>
      </c>
      <c r="C27" s="7" t="s">
        <v>28</v>
      </c>
      <c r="D27" s="7" t="s">
        <v>29</v>
      </c>
      <c r="E27" s="7" t="s">
        <v>30</v>
      </c>
      <c r="F27" s="7" t="s">
        <v>31</v>
      </c>
    </row>
    <row r="28" customFormat="false" ht="15" hidden="false" customHeight="false" outlineLevel="0" collapsed="false">
      <c r="A28" s="6" t="s">
        <v>55</v>
      </c>
      <c r="B28" s="6" t="n">
        <f aca="false">COUNTIF(Topics!$J$2:$J$213,A28)</f>
        <v>83</v>
      </c>
      <c r="C28" s="6" t="n">
        <f aca="false">SUMIF(Topics!$J$2:$J$213,A28,Topics!$K$2:$K$213)</f>
        <v>31</v>
      </c>
      <c r="D28" s="6" t="n">
        <f aca="false">SUMIF(Topics!$J$2:$J$213,A28,Topics!$L$2:$L$213)</f>
        <v>553</v>
      </c>
      <c r="E28" s="6" t="n">
        <f aca="false">C28+D28</f>
        <v>584</v>
      </c>
      <c r="F28" s="8" t="n">
        <f aca="false">IF($E$7=0,0,E28/$E$7)</f>
        <v>0.384463462804477</v>
      </c>
    </row>
    <row r="29" customFormat="false" ht="15" hidden="false" customHeight="false" outlineLevel="0" collapsed="false">
      <c r="A29" s="6" t="s">
        <v>56</v>
      </c>
      <c r="B29" s="6" t="n">
        <f aca="false">COUNTIF(Topics!$J$2:$J$213,A29)</f>
        <v>110</v>
      </c>
      <c r="C29" s="6" t="n">
        <f aca="false">SUMIF(Topics!$J$2:$J$213,A29,Topics!$K$2:$K$213)</f>
        <v>241</v>
      </c>
      <c r="D29" s="6" t="n">
        <f aca="false">SUMIF(Topics!$J$2:$J$213,A29,Topics!$L$2:$L$213)</f>
        <v>566</v>
      </c>
      <c r="E29" s="6" t="n">
        <f aca="false">C29+D29</f>
        <v>807</v>
      </c>
      <c r="F29" s="8" t="n">
        <f aca="false">IF($E$7=0,0,E29/$E$7)</f>
        <v>0.531270572745227</v>
      </c>
    </row>
    <row r="30" customFormat="false" ht="15" hidden="false" customHeight="false" outlineLevel="0" collapsed="false">
      <c r="A30" s="6" t="s">
        <v>57</v>
      </c>
      <c r="B30" s="6" t="n">
        <f aca="false">COUNTIF(Topics!$J$2:$J$213,A30)</f>
        <v>19</v>
      </c>
      <c r="C30" s="6" t="n">
        <f aca="false">SUMIF(Topics!$J$2:$J$213,A30,Topics!$K$2:$K$213)</f>
        <v>128</v>
      </c>
      <c r="D30" s="6" t="n">
        <f aca="false">SUMIF(Topics!$J$2:$J$213,A30,Topics!$L$2:$L$213)</f>
        <v>0</v>
      </c>
      <c r="E30" s="6" t="n">
        <f aca="false">C30+D30</f>
        <v>128</v>
      </c>
      <c r="F30" s="8" t="n">
        <f aca="false">IF($E$7=0,0,E30/$E$7)</f>
        <v>0.0842659644502962</v>
      </c>
    </row>
    <row r="31" customFormat="false" ht="15" hidden="false" customHeight="false" outlineLevel="0" collapsed="false">
      <c r="A31" s="6"/>
      <c r="B31" s="6"/>
      <c r="C31" s="6"/>
      <c r="D31" s="6"/>
      <c r="E31" s="6"/>
      <c r="F31" s="6"/>
    </row>
    <row r="32" customFormat="false" ht="15" hidden="false" customHeight="false" outlineLevel="0" collapsed="false">
      <c r="A32" s="5" t="s">
        <v>58</v>
      </c>
      <c r="B32" s="6"/>
      <c r="C32" s="6"/>
      <c r="D32" s="6"/>
      <c r="E32" s="6"/>
      <c r="F32" s="6"/>
    </row>
    <row r="33" customFormat="false" ht="15" hidden="false" customHeight="false" outlineLevel="0" collapsed="false">
      <c r="A33" s="7" t="s">
        <v>54</v>
      </c>
      <c r="B33" s="7" t="s">
        <v>27</v>
      </c>
      <c r="C33" s="7" t="s">
        <v>28</v>
      </c>
      <c r="D33" s="7" t="s">
        <v>29</v>
      </c>
      <c r="E33" s="7" t="s">
        <v>30</v>
      </c>
      <c r="F33" s="7" t="s">
        <v>31</v>
      </c>
    </row>
    <row r="34" customFormat="false" ht="15" hidden="false" customHeight="false" outlineLevel="0" collapsed="false">
      <c r="A34" s="6" t="s">
        <v>59</v>
      </c>
      <c r="B34" s="6" t="n">
        <f aca="false">COUNTIF(Topics!$G$2:$G$213,A34)</f>
        <v>35</v>
      </c>
      <c r="C34" s="6" t="n">
        <f aca="false">SUMIF(Topics!$G$2:$G$213,A34,Topics!$K$2:$K$213)</f>
        <v>24</v>
      </c>
      <c r="D34" s="6" t="n">
        <f aca="false">SUMIF(Topics!$G$2:$G$213,A34,Topics!$L$2:$L$213)</f>
        <v>226</v>
      </c>
      <c r="E34" s="6" t="n">
        <f aca="false">C34+D34</f>
        <v>250</v>
      </c>
      <c r="F34" s="8" t="n">
        <f aca="false">IF($E$7=0,0,E34/$E$7)</f>
        <v>0.164581961816985</v>
      </c>
    </row>
    <row r="35" customFormat="false" ht="15" hidden="false" customHeight="false" outlineLevel="0" collapsed="false">
      <c r="A35" s="6" t="s">
        <v>60</v>
      </c>
      <c r="B35" s="6" t="n">
        <f aca="false">COUNTIF(Topics!$G$2:$G$213,A35)</f>
        <v>41</v>
      </c>
      <c r="C35" s="6" t="n">
        <f aca="false">SUMIF(Topics!$G$2:$G$213,A35,Topics!$K$2:$K$213)</f>
        <v>33</v>
      </c>
      <c r="D35" s="6" t="n">
        <f aca="false">SUMIF(Topics!$G$2:$G$213,A35,Topics!$L$2:$L$213)</f>
        <v>209</v>
      </c>
      <c r="E35" s="6" t="n">
        <f aca="false">C35+D35</f>
        <v>242</v>
      </c>
      <c r="F35" s="8" t="n">
        <f aca="false">IF($E$7=0,0,E35/$E$7)</f>
        <v>0.159315339038841</v>
      </c>
    </row>
    <row r="36" customFormat="false" ht="15" hidden="false" customHeight="false" outlineLevel="0" collapsed="false">
      <c r="A36" s="6" t="s">
        <v>61</v>
      </c>
      <c r="B36" s="6" t="n">
        <f aca="false">COUNTIF(Topics!$G$2:$G$213,A36)</f>
        <v>35</v>
      </c>
      <c r="C36" s="6" t="n">
        <f aca="false">SUMIF(Topics!$G$2:$G$213,A36,Topics!$K$2:$K$213)</f>
        <v>115</v>
      </c>
      <c r="D36" s="6" t="n">
        <f aca="false">SUMIF(Topics!$G$2:$G$213,A36,Topics!$L$2:$L$213)</f>
        <v>132</v>
      </c>
      <c r="E36" s="6" t="n">
        <f aca="false">C36+D36</f>
        <v>247</v>
      </c>
      <c r="F36" s="8" t="n">
        <f aca="false">IF($E$7=0,0,E36/$E$7)</f>
        <v>0.162606978275181</v>
      </c>
    </row>
    <row r="37" customFormat="false" ht="15" hidden="false" customHeight="false" outlineLevel="0" collapsed="false">
      <c r="A37" s="6" t="s">
        <v>62</v>
      </c>
      <c r="B37" s="6" t="n">
        <f aca="false">COUNTIF(Topics!$G$2:$G$213,A37)</f>
        <v>69</v>
      </c>
      <c r="C37" s="6" t="n">
        <f aca="false">SUMIF(Topics!$G$2:$G$213,A37,Topics!$K$2:$K$213)</f>
        <v>174</v>
      </c>
      <c r="D37" s="6" t="n">
        <f aca="false">SUMIF(Topics!$G$2:$G$213,A37,Topics!$L$2:$L$213)</f>
        <v>402</v>
      </c>
      <c r="E37" s="6" t="n">
        <f aca="false">C37+D37</f>
        <v>576</v>
      </c>
      <c r="F37" s="8" t="n">
        <f aca="false">IF($E$7=0,0,E37/$E$7)</f>
        <v>0.379196840026333</v>
      </c>
    </row>
    <row r="38" customFormat="false" ht="15" hidden="false" customHeight="false" outlineLevel="0" collapsed="false">
      <c r="A38" s="6" t="s">
        <v>63</v>
      </c>
      <c r="B38" s="6" t="n">
        <f aca="false">COUNTIF(Topics!$G$2:$G$213,A38)</f>
        <v>13</v>
      </c>
      <c r="C38" s="6" t="n">
        <f aca="false">SUMIF(Topics!$G$2:$G$213,A38,Topics!$K$2:$K$213)</f>
        <v>15</v>
      </c>
      <c r="D38" s="6" t="n">
        <f aca="false">SUMIF(Topics!$G$2:$G$213,A38,Topics!$L$2:$L$213)</f>
        <v>63</v>
      </c>
      <c r="E38" s="6" t="n">
        <f aca="false">C38+D38</f>
        <v>78</v>
      </c>
      <c r="F38" s="8" t="n">
        <f aca="false">IF($E$7=0,0,E38/$E$7)</f>
        <v>0.0513495720868993</v>
      </c>
    </row>
    <row r="39" customFormat="false" ht="15" hidden="false" customHeight="false" outlineLevel="0" collapsed="false">
      <c r="A39" s="6" t="s">
        <v>64</v>
      </c>
      <c r="B39" s="6" t="n">
        <f aca="false">COUNTIF(Topics!$G$2:$G$213,A39)</f>
        <v>13</v>
      </c>
      <c r="C39" s="6" t="n">
        <f aca="false">SUMIF(Topics!$G$2:$G$213,A39,Topics!$K$2:$K$213)</f>
        <v>34</v>
      </c>
      <c r="D39" s="6" t="n">
        <f aca="false">SUMIF(Topics!$G$2:$G$213,A39,Topics!$L$2:$L$213)</f>
        <v>64</v>
      </c>
      <c r="E39" s="6" t="n">
        <f aca="false">C39+D39</f>
        <v>98</v>
      </c>
      <c r="F39" s="8" t="n">
        <f aca="false">IF($E$7=0,0,E39/$E$7)</f>
        <v>0.0645161290322581</v>
      </c>
    </row>
    <row r="40" customFormat="false" ht="15" hidden="false" customHeight="false" outlineLevel="0" collapsed="false">
      <c r="A40" s="6" t="s">
        <v>65</v>
      </c>
      <c r="B40" s="6" t="n">
        <f aca="false">COUNTIF(Topics!$G$2:$G$213,A40)</f>
        <v>6</v>
      </c>
      <c r="C40" s="6" t="n">
        <f aca="false">SUMIF(Topics!$G$2:$G$213,A40,Topics!$K$2:$K$213)</f>
        <v>5</v>
      </c>
      <c r="D40" s="6" t="n">
        <f aca="false">SUMIF(Topics!$G$2:$G$213,A40,Topics!$L$2:$L$213)</f>
        <v>23</v>
      </c>
      <c r="E40" s="6" t="n">
        <f aca="false">C40+D40</f>
        <v>28</v>
      </c>
      <c r="F40" s="8" t="n">
        <f aca="false">IF($E$7=0,0,E40/$E$7)</f>
        <v>0.0184331797235023</v>
      </c>
    </row>
    <row r="41" customFormat="false" ht="15" hidden="false" customHeight="false" outlineLevel="0" collapsed="false">
      <c r="A41" s="6"/>
      <c r="B41" s="6"/>
      <c r="C41" s="6"/>
      <c r="D41" s="6"/>
      <c r="E41" s="6"/>
      <c r="F41" s="6"/>
    </row>
    <row r="42" customFormat="false" ht="15" hidden="false" customHeight="false" outlineLevel="0" collapsed="false">
      <c r="A42" s="5" t="s">
        <v>66</v>
      </c>
      <c r="B42" s="6"/>
      <c r="C42" s="6"/>
      <c r="D42" s="6"/>
      <c r="E42" s="6"/>
      <c r="F42" s="6"/>
    </row>
    <row r="43" customFormat="false" ht="15" hidden="false" customHeight="false" outlineLevel="0" collapsed="false">
      <c r="A43" s="7" t="s">
        <v>54</v>
      </c>
      <c r="B43" s="7" t="s">
        <v>27</v>
      </c>
      <c r="C43" s="7" t="s">
        <v>28</v>
      </c>
      <c r="D43" s="7" t="s">
        <v>29</v>
      </c>
      <c r="E43" s="7" t="s">
        <v>30</v>
      </c>
      <c r="F43" s="7" t="s">
        <v>31</v>
      </c>
    </row>
    <row r="44" customFormat="false" ht="15" hidden="false" customHeight="false" outlineLevel="0" collapsed="false">
      <c r="A44" s="6" t="s">
        <v>67</v>
      </c>
      <c r="B44" s="6" t="n">
        <f aca="false">COUNTIF(Topics!$H$2:$H$213,A44)</f>
        <v>26</v>
      </c>
      <c r="C44" s="6" t="n">
        <f aca="false">SUMIF(Topics!$H$2:$H$213,A44,Topics!$K$2:$K$213)</f>
        <v>97</v>
      </c>
      <c r="D44" s="6" t="n">
        <f aca="false">SUMIF(Topics!$H$2:$H$213,A44,Topics!$L$2:$L$213)</f>
        <v>121</v>
      </c>
      <c r="E44" s="6" t="n">
        <f aca="false">C44+D44</f>
        <v>218</v>
      </c>
      <c r="F44" s="8" t="n">
        <f aca="false">IF($E$7=0,0,E44/$E$7)</f>
        <v>0.143515470704411</v>
      </c>
    </row>
    <row r="45" customFormat="false" ht="15" hidden="false" customHeight="false" outlineLevel="0" collapsed="false">
      <c r="A45" s="6" t="s">
        <v>68</v>
      </c>
      <c r="B45" s="6" t="n">
        <f aca="false">COUNTIF(Topics!$H$2:$H$213,A45)</f>
        <v>8</v>
      </c>
      <c r="C45" s="6" t="n">
        <f aca="false">SUMIF(Topics!$H$2:$H$213,A45,Topics!$K$2:$K$213)</f>
        <v>19</v>
      </c>
      <c r="D45" s="6" t="n">
        <f aca="false">SUMIF(Topics!$H$2:$H$213,A45,Topics!$L$2:$L$213)</f>
        <v>42</v>
      </c>
      <c r="E45" s="6" t="n">
        <f aca="false">C45+D45</f>
        <v>61</v>
      </c>
      <c r="F45" s="8" t="n">
        <f aca="false">IF($E$7=0,0,E45/$E$7)</f>
        <v>0.0401579986833443</v>
      </c>
    </row>
    <row r="46" customFormat="false" ht="15" hidden="false" customHeight="false" outlineLevel="0" collapsed="false">
      <c r="A46" s="6" t="s">
        <v>69</v>
      </c>
      <c r="B46" s="6" t="n">
        <f aca="false">COUNTIF(Topics!$H$2:$H$213,A46)</f>
        <v>10</v>
      </c>
      <c r="C46" s="6" t="n">
        <f aca="false">SUMIF(Topics!$H$2:$H$213,A46,Topics!$K$2:$K$213)</f>
        <v>4</v>
      </c>
      <c r="D46" s="6" t="n">
        <f aca="false">SUMIF(Topics!$H$2:$H$213,A46,Topics!$L$2:$L$213)</f>
        <v>64</v>
      </c>
      <c r="E46" s="6" t="n">
        <f aca="false">C46+D46</f>
        <v>68</v>
      </c>
      <c r="F46" s="8" t="n">
        <f aca="false">IF($E$7=0,0,E46/$E$7)</f>
        <v>0.0447662936142199</v>
      </c>
    </row>
    <row r="47" customFormat="false" ht="15" hidden="false" customHeight="false" outlineLevel="0" collapsed="false">
      <c r="A47" s="6" t="s">
        <v>70</v>
      </c>
      <c r="B47" s="6" t="n">
        <f aca="false">COUNTIF(Topics!$H$2:$H$213,A47)</f>
        <v>3</v>
      </c>
      <c r="C47" s="6" t="n">
        <f aca="false">SUMIF(Topics!$H$2:$H$213,A47,Topics!$K$2:$K$213)</f>
        <v>0</v>
      </c>
      <c r="D47" s="6" t="n">
        <f aca="false">SUMIF(Topics!$H$2:$H$213,A47,Topics!$L$2:$L$213)</f>
        <v>17</v>
      </c>
      <c r="E47" s="6" t="n">
        <f aca="false">C47+D47</f>
        <v>17</v>
      </c>
      <c r="F47" s="8" t="n">
        <f aca="false">IF($E$7=0,0,E47/$E$7)</f>
        <v>0.011191573403555</v>
      </c>
    </row>
    <row r="48" customFormat="false" ht="15" hidden="false" customHeight="false" outlineLevel="0" collapsed="false">
      <c r="A48" s="6" t="s">
        <v>71</v>
      </c>
      <c r="B48" s="6" t="n">
        <f aca="false">COUNTIF(Topics!$H$2:$H$213,A48)</f>
        <v>32</v>
      </c>
      <c r="C48" s="6" t="n">
        <f aca="false">SUMIF(Topics!$H$2:$H$213,A48,Topics!$K$2:$K$213)</f>
        <v>15</v>
      </c>
      <c r="D48" s="6" t="n">
        <f aca="false">SUMIF(Topics!$H$2:$H$213,A48,Topics!$L$2:$L$213)</f>
        <v>205</v>
      </c>
      <c r="E48" s="6" t="n">
        <f aca="false">C48+D48</f>
        <v>220</v>
      </c>
      <c r="F48" s="8" t="n">
        <f aca="false">IF($E$7=0,0,E48/$E$7)</f>
        <v>0.144832126398947</v>
      </c>
    </row>
    <row r="49" customFormat="false" ht="15" hidden="false" customHeight="false" outlineLevel="0" collapsed="false">
      <c r="A49" s="6" t="s">
        <v>72</v>
      </c>
      <c r="B49" s="6" t="n">
        <f aca="false">COUNTIF(Topics!$H$2:$H$213,A49)</f>
        <v>47</v>
      </c>
      <c r="C49" s="6" t="n">
        <f aca="false">SUMIF(Topics!$H$2:$H$213,A49,Topics!$K$2:$K$213)</f>
        <v>45</v>
      </c>
      <c r="D49" s="6" t="n">
        <f aca="false">SUMIF(Topics!$H$2:$H$213,A49,Topics!$L$2:$L$213)</f>
        <v>242</v>
      </c>
      <c r="E49" s="6" t="n">
        <f aca="false">C49+D49</f>
        <v>287</v>
      </c>
      <c r="F49" s="8" t="n">
        <f aca="false">IF($E$7=0,0,E49/$E$7)</f>
        <v>0.188940092165899</v>
      </c>
    </row>
    <row r="50" customFormat="false" ht="15" hidden="false" customHeight="false" outlineLevel="0" collapsed="false">
      <c r="A50" s="6" t="s">
        <v>73</v>
      </c>
      <c r="B50" s="6" t="n">
        <f aca="false">COUNTIF(Topics!$H$2:$H$213,A50)</f>
        <v>14</v>
      </c>
      <c r="C50" s="6" t="n">
        <f aca="false">SUMIF(Topics!$H$2:$H$213,A50,Topics!$K$2:$K$213)</f>
        <v>36</v>
      </c>
      <c r="D50" s="6" t="n">
        <f aca="false">SUMIF(Topics!$H$2:$H$213,A50,Topics!$L$2:$L$213)</f>
        <v>64</v>
      </c>
      <c r="E50" s="6" t="n">
        <f aca="false">C50+D50</f>
        <v>100</v>
      </c>
      <c r="F50" s="8" t="n">
        <f aca="false">IF($E$7=0,0,E50/$E$7)</f>
        <v>0.065832784726794</v>
      </c>
    </row>
    <row r="51" customFormat="false" ht="15" hidden="false" customHeight="false" outlineLevel="0" collapsed="false">
      <c r="A51" s="6" t="s">
        <v>74</v>
      </c>
      <c r="B51" s="6" t="n">
        <f aca="false">COUNTIF(Topics!$H$2:$H$213,A51)</f>
        <v>24</v>
      </c>
      <c r="C51" s="6" t="n">
        <f aca="false">SUMIF(Topics!$H$2:$H$213,A51,Topics!$K$2:$K$213)</f>
        <v>32</v>
      </c>
      <c r="D51" s="6" t="n">
        <f aca="false">SUMIF(Topics!$H$2:$H$213,A51,Topics!$L$2:$L$213)</f>
        <v>152</v>
      </c>
      <c r="E51" s="6" t="n">
        <f aca="false">C51+D51</f>
        <v>184</v>
      </c>
      <c r="F51" s="8" t="n">
        <f aca="false">IF($E$7=0,0,E51/$E$7)</f>
        <v>0.121132323897301</v>
      </c>
    </row>
    <row r="52" customFormat="false" ht="15" hidden="false" customHeight="false" outlineLevel="0" collapsed="false">
      <c r="A52" s="6" t="s">
        <v>75</v>
      </c>
      <c r="B52" s="6" t="n">
        <f aca="false">COUNTIF(Topics!$H$2:$H$213,A52)</f>
        <v>22</v>
      </c>
      <c r="C52" s="6" t="n">
        <f aca="false">SUMIF(Topics!$H$2:$H$213,A52,Topics!$K$2:$K$213)</f>
        <v>124</v>
      </c>
      <c r="D52" s="6" t="n">
        <f aca="false">SUMIF(Topics!$H$2:$H$213,A52,Topics!$L$2:$L$213)</f>
        <v>84</v>
      </c>
      <c r="E52" s="6" t="n">
        <f aca="false">C52+D52</f>
        <v>208</v>
      </c>
      <c r="F52" s="8" t="n">
        <f aca="false">IF($E$7=0,0,E52/$E$7)</f>
        <v>0.136932192231731</v>
      </c>
    </row>
    <row r="53" customFormat="false" ht="15" hidden="false" customHeight="false" outlineLevel="0" collapsed="false">
      <c r="A53" s="6" t="s">
        <v>76</v>
      </c>
      <c r="B53" s="6" t="n">
        <f aca="false">COUNTIF(Topics!$H$2:$H$213,A53)</f>
        <v>26</v>
      </c>
      <c r="C53" s="6" t="n">
        <f aca="false">SUMIF(Topics!$H$2:$H$213,A53,Topics!$K$2:$K$213)</f>
        <v>28</v>
      </c>
      <c r="D53" s="6" t="n">
        <f aca="false">SUMIF(Topics!$H$2:$H$213,A53,Topics!$L$2:$L$213)</f>
        <v>128</v>
      </c>
      <c r="E53" s="6" t="n">
        <f aca="false">C53+D53</f>
        <v>156</v>
      </c>
      <c r="F53" s="8" t="n">
        <f aca="false">IF($E$7=0,0,E53/$E$7)</f>
        <v>0.102699144173799</v>
      </c>
    </row>
    <row r="54" customFormat="false" ht="15" hidden="false" customHeight="false" outlineLevel="0" collapsed="false">
      <c r="A54" s="6"/>
      <c r="B54" s="6"/>
      <c r="C54" s="6"/>
      <c r="D54" s="6"/>
      <c r="E54" s="6"/>
      <c r="F54" s="6"/>
    </row>
    <row r="55" customFormat="false" ht="15" hidden="false" customHeight="false" outlineLevel="0" collapsed="false">
      <c r="A55" s="5" t="s">
        <v>77</v>
      </c>
      <c r="B55" s="6"/>
      <c r="C55" s="6"/>
      <c r="D55" s="6"/>
      <c r="E55" s="6"/>
      <c r="F55" s="6"/>
    </row>
    <row r="56" customFormat="false" ht="15" hidden="false" customHeight="false" outlineLevel="0" collapsed="false">
      <c r="A56" s="7" t="s">
        <v>54</v>
      </c>
      <c r="B56" s="7" t="s">
        <v>27</v>
      </c>
      <c r="C56" s="7" t="s">
        <v>28</v>
      </c>
      <c r="D56" s="7" t="s">
        <v>29</v>
      </c>
      <c r="E56" s="7" t="s">
        <v>30</v>
      </c>
      <c r="F56" s="7" t="s">
        <v>31</v>
      </c>
    </row>
    <row r="57" customFormat="false" ht="15" hidden="false" customHeight="false" outlineLevel="0" collapsed="false">
      <c r="A57" s="6" t="s">
        <v>78</v>
      </c>
      <c r="B57" s="6" t="n">
        <f aca="false">COUNTIF(Topics!$F$2:$F$213,A57)</f>
        <v>19</v>
      </c>
      <c r="C57" s="6" t="n">
        <f aca="false">SUMIF(Topics!$F$2:$F$213,A57,Topics!$K$2:$K$213)</f>
        <v>0</v>
      </c>
      <c r="D57" s="6" t="n">
        <f aca="false">SUMIF(Topics!$F$2:$F$213,A57,Topics!$L$2:$L$213)</f>
        <v>137</v>
      </c>
      <c r="E57" s="6" t="n">
        <f aca="false">C57+D57</f>
        <v>137</v>
      </c>
      <c r="F57" s="8" t="n">
        <f aca="false">IF($E$7=0,0,E57/$E$7)</f>
        <v>0.0901909150757077</v>
      </c>
    </row>
    <row r="58" customFormat="false" ht="15" hidden="false" customHeight="false" outlineLevel="0" collapsed="false">
      <c r="A58" s="6" t="s">
        <v>79</v>
      </c>
      <c r="B58" s="6" t="n">
        <f aca="false">COUNTIF(Topics!$F$2:$F$213,A58)</f>
        <v>3</v>
      </c>
      <c r="C58" s="6" t="n">
        <f aca="false">SUMIF(Topics!$F$2:$F$213,A58,Topics!$K$2:$K$213)</f>
        <v>0</v>
      </c>
      <c r="D58" s="6" t="n">
        <f aca="false">SUMIF(Topics!$F$2:$F$213,A58,Topics!$L$2:$L$213)</f>
        <v>24</v>
      </c>
      <c r="E58" s="6" t="n">
        <f aca="false">C58+D58</f>
        <v>24</v>
      </c>
      <c r="F58" s="8" t="n">
        <f aca="false">IF($E$7=0,0,E58/$E$7)</f>
        <v>0.0157998683344305</v>
      </c>
    </row>
    <row r="59" customFormat="false" ht="15" hidden="false" customHeight="false" outlineLevel="0" collapsed="false">
      <c r="A59" s="6" t="s">
        <v>80</v>
      </c>
      <c r="B59" s="6" t="n">
        <f aca="false">COUNTIF(Topics!$F$2:$F$213,A59)</f>
        <v>5</v>
      </c>
      <c r="C59" s="6" t="n">
        <f aca="false">SUMIF(Topics!$F$2:$F$213,A59,Topics!$K$2:$K$213)</f>
        <v>0</v>
      </c>
      <c r="D59" s="6" t="n">
        <f aca="false">SUMIF(Topics!$F$2:$F$213,A59,Topics!$L$2:$L$213)</f>
        <v>34</v>
      </c>
      <c r="E59" s="6" t="n">
        <f aca="false">C59+D59</f>
        <v>34</v>
      </c>
      <c r="F59" s="8" t="n">
        <f aca="false">IF($E$7=0,0,E59/$E$7)</f>
        <v>0.0223831468071099</v>
      </c>
    </row>
    <row r="60" customFormat="false" ht="15" hidden="false" customHeight="false" outlineLevel="0" collapsed="false">
      <c r="A60" s="6" t="s">
        <v>81</v>
      </c>
      <c r="B60" s="6" t="n">
        <f aca="false">COUNTIF(Topics!$F$2:$F$213,A60)</f>
        <v>13</v>
      </c>
      <c r="C60" s="6" t="n">
        <f aca="false">SUMIF(Topics!$F$2:$F$213,A60,Topics!$K$2:$K$213)</f>
        <v>19</v>
      </c>
      <c r="D60" s="6" t="n">
        <f aca="false">SUMIF(Topics!$F$2:$F$213,A60,Topics!$L$2:$L$213)</f>
        <v>80</v>
      </c>
      <c r="E60" s="6" t="n">
        <f aca="false">C60+D60</f>
        <v>99</v>
      </c>
      <c r="F60" s="8" t="n">
        <f aca="false">IF($E$7=0,0,E60/$E$7)</f>
        <v>0.065174456879526</v>
      </c>
    </row>
    <row r="61" customFormat="false" ht="15" hidden="false" customHeight="false" outlineLevel="0" collapsed="false">
      <c r="A61" s="6" t="s">
        <v>82</v>
      </c>
      <c r="B61" s="6" t="n">
        <f aca="false">COUNTIF(Topics!$F$2:$F$213,A61)</f>
        <v>20</v>
      </c>
      <c r="C61" s="6" t="n">
        <f aca="false">SUMIF(Topics!$F$2:$F$213,A61,Topics!$K$2:$K$213)</f>
        <v>65</v>
      </c>
      <c r="D61" s="6" t="n">
        <f aca="false">SUMIF(Topics!$F$2:$F$213,A61,Topics!$L$2:$L$213)</f>
        <v>75</v>
      </c>
      <c r="E61" s="6" t="n">
        <f aca="false">C61+D61</f>
        <v>140</v>
      </c>
      <c r="F61" s="8" t="n">
        <f aca="false">IF($E$7=0,0,E61/$E$7)</f>
        <v>0.0921658986175115</v>
      </c>
    </row>
    <row r="62" customFormat="false" ht="15" hidden="false" customHeight="false" outlineLevel="0" collapsed="false">
      <c r="A62" s="6" t="s">
        <v>83</v>
      </c>
      <c r="B62" s="6" t="n">
        <f aca="false">COUNTIF(Topics!$F$2:$F$213,A62)</f>
        <v>28</v>
      </c>
      <c r="C62" s="6" t="n">
        <f aca="false">SUMIF(Topics!$F$2:$F$213,A62,Topics!$K$2:$K$213)</f>
        <v>74</v>
      </c>
      <c r="D62" s="6" t="n">
        <f aca="false">SUMIF(Topics!$F$2:$F$213,A62,Topics!$L$2:$L$213)</f>
        <v>125</v>
      </c>
      <c r="E62" s="6" t="n">
        <f aca="false">C62+D62</f>
        <v>199</v>
      </c>
      <c r="F62" s="8" t="n">
        <f aca="false">IF($E$7=0,0,E62/$E$7)</f>
        <v>0.13100724160632</v>
      </c>
    </row>
    <row r="63" customFormat="false" ht="15" hidden="false" customHeight="false" outlineLevel="0" collapsed="false">
      <c r="A63" s="6" t="s">
        <v>84</v>
      </c>
      <c r="B63" s="6" t="n">
        <f aca="false">COUNTIF(Topics!$F$2:$F$213,A63)</f>
        <v>21</v>
      </c>
      <c r="C63" s="6" t="n">
        <f aca="false">SUMIF(Topics!$F$2:$F$213,A63,Topics!$K$2:$K$213)</f>
        <v>63</v>
      </c>
      <c r="D63" s="6" t="n">
        <f aca="false">SUMIF(Topics!$F$2:$F$213,A63,Topics!$L$2:$L$213)</f>
        <v>96</v>
      </c>
      <c r="E63" s="6" t="n">
        <f aca="false">C63+D63</f>
        <v>159</v>
      </c>
      <c r="F63" s="8" t="n">
        <f aca="false">IF($E$7=0,0,E63/$E$7)</f>
        <v>0.104674127715602</v>
      </c>
    </row>
    <row r="64" customFormat="false" ht="15" hidden="false" customHeight="false" outlineLevel="0" collapsed="false">
      <c r="A64" s="6" t="s">
        <v>85</v>
      </c>
      <c r="B64" s="6" t="n">
        <f aca="false">COUNTIF(Topics!$F$2:$F$213,A64)</f>
        <v>26</v>
      </c>
      <c r="C64" s="6" t="n">
        <f aca="false">SUMIF(Topics!$F$2:$F$213,A64,Topics!$K$2:$K$213)</f>
        <v>47</v>
      </c>
      <c r="D64" s="6" t="n">
        <f aca="false">SUMIF(Topics!$F$2:$F$213,A64,Topics!$L$2:$L$213)</f>
        <v>122</v>
      </c>
      <c r="E64" s="6" t="n">
        <f aca="false">C64+D64</f>
        <v>169</v>
      </c>
      <c r="F64" s="8" t="n">
        <f aca="false">IF($E$7=0,0,E64/$E$7)</f>
        <v>0.111257406188282</v>
      </c>
    </row>
    <row r="65" customFormat="false" ht="15" hidden="false" customHeight="false" outlineLevel="0" collapsed="false">
      <c r="A65" s="6" t="s">
        <v>86</v>
      </c>
      <c r="B65" s="6" t="n">
        <f aca="false">COUNTIF(Topics!$F$2:$F$213,A65)</f>
        <v>12</v>
      </c>
      <c r="C65" s="6" t="n">
        <f aca="false">SUMIF(Topics!$F$2:$F$213,A65,Topics!$K$2:$K$213)</f>
        <v>23</v>
      </c>
      <c r="D65" s="6" t="n">
        <f aca="false">SUMIF(Topics!$F$2:$F$213,A65,Topics!$L$2:$L$213)</f>
        <v>66</v>
      </c>
      <c r="E65" s="6" t="n">
        <f aca="false">C65+D65</f>
        <v>89</v>
      </c>
      <c r="F65" s="8" t="n">
        <f aca="false">IF($E$7=0,0,E65/$E$7)</f>
        <v>0.0585911784068466</v>
      </c>
    </row>
    <row r="66" customFormat="false" ht="15" hidden="false" customHeight="false" outlineLevel="0" collapsed="false">
      <c r="A66" s="6" t="s">
        <v>87</v>
      </c>
      <c r="B66" s="6" t="n">
        <f aca="false">COUNTIF(Topics!$F$2:$F$213,A66)</f>
        <v>23</v>
      </c>
      <c r="C66" s="6" t="n">
        <f aca="false">SUMIF(Topics!$F$2:$F$213,A66,Topics!$K$2:$K$213)</f>
        <v>32</v>
      </c>
      <c r="D66" s="6" t="n">
        <f aca="false">SUMIF(Topics!$F$2:$F$213,A66,Topics!$L$2:$L$213)</f>
        <v>124</v>
      </c>
      <c r="E66" s="6" t="n">
        <f aca="false">C66+D66</f>
        <v>156</v>
      </c>
      <c r="F66" s="8" t="n">
        <f aca="false">IF($E$7=0,0,E66/$E$7)</f>
        <v>0.102699144173799</v>
      </c>
    </row>
    <row r="67" customFormat="false" ht="15" hidden="false" customHeight="false" outlineLevel="0" collapsed="false">
      <c r="A67" s="6" t="s">
        <v>88</v>
      </c>
      <c r="B67" s="6" t="n">
        <f aca="false">COUNTIF(Topics!$F$2:$F$213,A67)</f>
        <v>1</v>
      </c>
      <c r="C67" s="6" t="n">
        <f aca="false">SUMIF(Topics!$F$2:$F$213,A67,Topics!$K$2:$K$213)</f>
        <v>0</v>
      </c>
      <c r="D67" s="6" t="n">
        <f aca="false">SUMIF(Topics!$F$2:$F$213,A67,Topics!$L$2:$L$213)</f>
        <v>5</v>
      </c>
      <c r="E67" s="6" t="n">
        <f aca="false">C67+D67</f>
        <v>5</v>
      </c>
      <c r="F67" s="8" t="n">
        <f aca="false">IF($E$7=0,0,E67/$E$7)</f>
        <v>0.0032916392363397</v>
      </c>
    </row>
    <row r="68" customFormat="false" ht="15" hidden="false" customHeight="false" outlineLevel="0" collapsed="false">
      <c r="A68" s="6" t="s">
        <v>89</v>
      </c>
      <c r="B68" s="6" t="n">
        <f aca="false">COUNTIF(Topics!$F$2:$F$213,A68)</f>
        <v>5</v>
      </c>
      <c r="C68" s="6" t="n">
        <f aca="false">SUMIF(Topics!$F$2:$F$213,A68,Topics!$K$2:$K$213)</f>
        <v>1</v>
      </c>
      <c r="D68" s="6" t="n">
        <f aca="false">SUMIF(Topics!$F$2:$F$213,A68,Topics!$L$2:$L$213)</f>
        <v>27</v>
      </c>
      <c r="E68" s="6" t="n">
        <f aca="false">C68+D68</f>
        <v>28</v>
      </c>
      <c r="F68" s="8" t="n">
        <f aca="false">IF($E$7=0,0,E68/$E$7)</f>
        <v>0.0184331797235023</v>
      </c>
    </row>
    <row r="69" customFormat="false" ht="15" hidden="false" customHeight="false" outlineLevel="0" collapsed="false">
      <c r="A69" s="6" t="s">
        <v>90</v>
      </c>
      <c r="B69" s="6" t="n">
        <f aca="false">COUNTIF(Topics!$F$2:$F$213,A69)</f>
        <v>2</v>
      </c>
      <c r="C69" s="6" t="n">
        <f aca="false">SUMIF(Topics!$F$2:$F$213,A69,Topics!$K$2:$K$213)</f>
        <v>0</v>
      </c>
      <c r="D69" s="6" t="n">
        <f aca="false">SUMIF(Topics!$F$2:$F$213,A69,Topics!$L$2:$L$213)</f>
        <v>15</v>
      </c>
      <c r="E69" s="6" t="n">
        <f aca="false">C69+D69</f>
        <v>15</v>
      </c>
      <c r="F69" s="8" t="n">
        <f aca="false">IF($E$7=0,0,E69/$E$7)</f>
        <v>0.00987491770901909</v>
      </c>
    </row>
    <row r="70" customFormat="false" ht="15" hidden="false" customHeight="false" outlineLevel="0" collapsed="false">
      <c r="A70" s="6" t="s">
        <v>91</v>
      </c>
      <c r="B70" s="6" t="n">
        <f aca="false">COUNTIF(Topics!$F$2:$F$213,A70)</f>
        <v>2</v>
      </c>
      <c r="C70" s="6" t="n">
        <f aca="false">SUMIF(Topics!$F$2:$F$213,A70,Topics!$K$2:$K$213)</f>
        <v>0</v>
      </c>
      <c r="D70" s="6" t="n">
        <f aca="false">SUMIF(Topics!$F$2:$F$213,A70,Topics!$L$2:$L$213)</f>
        <v>12</v>
      </c>
      <c r="E70" s="6" t="n">
        <f aca="false">C70+D70</f>
        <v>12</v>
      </c>
      <c r="F70" s="8" t="n">
        <f aca="false">IF($E$7=0,0,E70/$E$7)</f>
        <v>0.00789993416721527</v>
      </c>
    </row>
    <row r="71" customFormat="false" ht="15" hidden="false" customHeight="false" outlineLevel="0" collapsed="false">
      <c r="A71" s="6" t="s">
        <v>92</v>
      </c>
      <c r="B71" s="6" t="n">
        <f aca="false">COUNTIF(Topics!$F$2:$F$213,A71)</f>
        <v>4</v>
      </c>
      <c r="C71" s="6" t="n">
        <f aca="false">SUMIF(Topics!$F$2:$F$213,A71,Topics!$K$2:$K$213)</f>
        <v>12</v>
      </c>
      <c r="D71" s="6" t="n">
        <f aca="false">SUMIF(Topics!$F$2:$F$213,A71,Topics!$L$2:$L$213)</f>
        <v>15</v>
      </c>
      <c r="E71" s="6" t="n">
        <f aca="false">C71+D71</f>
        <v>27</v>
      </c>
      <c r="F71" s="8" t="n">
        <f aca="false">IF($E$7=0,0,E71/$E$7)</f>
        <v>0.0177748518762344</v>
      </c>
    </row>
    <row r="72" customFormat="false" ht="15" hidden="false" customHeight="false" outlineLevel="0" collapsed="false">
      <c r="A72" s="6" t="s">
        <v>93</v>
      </c>
      <c r="B72" s="6" t="n">
        <f aca="false">COUNTIF(Topics!$F$2:$F$213,A72)</f>
        <v>3</v>
      </c>
      <c r="C72" s="6" t="n">
        <f aca="false">SUMIF(Topics!$F$2:$F$213,A72,Topics!$K$2:$K$213)</f>
        <v>0</v>
      </c>
      <c r="D72" s="6" t="n">
        <f aca="false">SUMIF(Topics!$F$2:$F$213,A72,Topics!$L$2:$L$213)</f>
        <v>22</v>
      </c>
      <c r="E72" s="6" t="n">
        <f aca="false">C72+D72</f>
        <v>22</v>
      </c>
      <c r="F72" s="8" t="n">
        <f aca="false">IF($E$7=0,0,E72/$E$7)</f>
        <v>0.0144832126398947</v>
      </c>
    </row>
    <row r="73" customFormat="false" ht="15" hidden="false" customHeight="false" outlineLevel="0" collapsed="false">
      <c r="A73" s="6" t="s">
        <v>94</v>
      </c>
      <c r="B73" s="6" t="n">
        <f aca="false">COUNTIF(Topics!$F$2:$F$213,A73)</f>
        <v>4</v>
      </c>
      <c r="C73" s="6" t="n">
        <f aca="false">SUMIF(Topics!$F$2:$F$213,A73,Topics!$K$2:$K$213)</f>
        <v>10</v>
      </c>
      <c r="D73" s="6" t="n">
        <f aca="false">SUMIF(Topics!$F$2:$F$213,A73,Topics!$L$2:$L$213)</f>
        <v>20</v>
      </c>
      <c r="E73" s="6" t="n">
        <f aca="false">C73+D73</f>
        <v>30</v>
      </c>
      <c r="F73" s="8" t="n">
        <f aca="false">IF($E$7=0,0,E73/$E$7)</f>
        <v>0.0197498354180382</v>
      </c>
    </row>
    <row r="74" customFormat="false" ht="15" hidden="false" customHeight="false" outlineLevel="0" collapsed="false">
      <c r="A74" s="6" t="s">
        <v>95</v>
      </c>
      <c r="B74" s="6" t="n">
        <f aca="false">COUNTIF(Topics!$F$2:$F$213,A74)</f>
        <v>4</v>
      </c>
      <c r="C74" s="6" t="n">
        <f aca="false">SUMIF(Topics!$F$2:$F$213,A74,Topics!$K$2:$K$213)</f>
        <v>0</v>
      </c>
      <c r="D74" s="6" t="n">
        <f aca="false">SUMIF(Topics!$F$2:$F$213,A74,Topics!$L$2:$L$213)</f>
        <v>27</v>
      </c>
      <c r="E74" s="6" t="n">
        <f aca="false">C74+D74</f>
        <v>27</v>
      </c>
      <c r="F74" s="8" t="n">
        <f aca="false">IF($E$7=0,0,E74/$E$7)</f>
        <v>0.0177748518762344</v>
      </c>
    </row>
    <row r="75" customFormat="false" ht="15" hidden="false" customHeight="false" outlineLevel="0" collapsed="false">
      <c r="A75" s="6" t="s">
        <v>96</v>
      </c>
      <c r="B75" s="6" t="n">
        <f aca="false">COUNTIF(Topics!$F$2:$F$213,A75)</f>
        <v>7</v>
      </c>
      <c r="C75" s="6" t="n">
        <f aca="false">SUMIF(Topics!$F$2:$F$213,A75,Topics!$K$2:$K$213)</f>
        <v>26</v>
      </c>
      <c r="D75" s="6" t="n">
        <f aca="false">SUMIF(Topics!$F$2:$F$213,A75,Topics!$L$2:$L$213)</f>
        <v>24</v>
      </c>
      <c r="E75" s="6" t="n">
        <f aca="false">C75+D75</f>
        <v>50</v>
      </c>
      <c r="F75" s="8" t="n">
        <f aca="false">IF($E$7=0,0,E75/$E$7)</f>
        <v>0.032916392363397</v>
      </c>
    </row>
    <row r="76" customFormat="false" ht="15" hidden="false" customHeight="false" outlineLevel="0" collapsed="false">
      <c r="A76" s="6" t="s">
        <v>97</v>
      </c>
      <c r="B76" s="6" t="n">
        <f aca="false">COUNTIF(Topics!$F$2:$F$213,A76)</f>
        <v>1</v>
      </c>
      <c r="C76" s="6" t="n">
        <f aca="false">SUMIF(Topics!$F$2:$F$213,A76,Topics!$K$2:$K$213)</f>
        <v>0</v>
      </c>
      <c r="D76" s="6" t="n">
        <f aca="false">SUMIF(Topics!$F$2:$F$213,A76,Topics!$L$2:$L$213)</f>
        <v>5</v>
      </c>
      <c r="E76" s="6" t="n">
        <f aca="false">C76+D76</f>
        <v>5</v>
      </c>
      <c r="F76" s="8" t="n">
        <f aca="false">IF($E$7=0,0,E76/$E$7)</f>
        <v>0.0032916392363397</v>
      </c>
    </row>
    <row r="77" customFormat="false" ht="15" hidden="false" customHeight="false" outlineLevel="0" collapsed="false">
      <c r="A77" s="6" t="s">
        <v>98</v>
      </c>
      <c r="B77" s="6" t="n">
        <f aca="false">COUNTIF(Topics!$F$2:$F$213,A77)</f>
        <v>1</v>
      </c>
      <c r="C77" s="6" t="n">
        <f aca="false">SUMIF(Topics!$F$2:$F$213,A77,Topics!$K$2:$K$213)</f>
        <v>0</v>
      </c>
      <c r="D77" s="6" t="n">
        <f aca="false">SUMIF(Topics!$F$2:$F$213,A77,Topics!$L$2:$L$213)</f>
        <v>8</v>
      </c>
      <c r="E77" s="6" t="n">
        <f aca="false">C77+D77</f>
        <v>8</v>
      </c>
      <c r="F77" s="8" t="n">
        <f aca="false">IF($E$7=0,0,E77/$E$7)</f>
        <v>0.00526662277814352</v>
      </c>
    </row>
    <row r="78" customFormat="false" ht="15" hidden="false" customHeight="false" outlineLevel="0" collapsed="false">
      <c r="A78" s="6" t="s">
        <v>99</v>
      </c>
      <c r="B78" s="6" t="n">
        <f aca="false">COUNTIF(Topics!$F$2:$F$213,A78)</f>
        <v>1</v>
      </c>
      <c r="C78" s="6" t="n">
        <f aca="false">SUMIF(Topics!$F$2:$F$213,A78,Topics!$K$2:$K$213)</f>
        <v>3</v>
      </c>
      <c r="D78" s="6" t="n">
        <f aca="false">SUMIF(Topics!$F$2:$F$213,A78,Topics!$L$2:$L$213)</f>
        <v>4</v>
      </c>
      <c r="E78" s="6" t="n">
        <f aca="false">C78+D78</f>
        <v>7</v>
      </c>
      <c r="F78" s="8" t="n">
        <f aca="false">IF($E$7=0,0,E78/$E$7)</f>
        <v>0.00460829493087558</v>
      </c>
    </row>
    <row r="79" customFormat="false" ht="15" hidden="false" customHeight="false" outlineLevel="0" collapsed="false">
      <c r="A79" s="6" t="s">
        <v>100</v>
      </c>
      <c r="B79" s="6" t="n">
        <f aca="false">COUNTIF(Topics!$F$2:$F$213,A79)</f>
        <v>3</v>
      </c>
      <c r="C79" s="6" t="n">
        <f aca="false">SUMIF(Topics!$F$2:$F$213,A79,Topics!$K$2:$K$213)</f>
        <v>0</v>
      </c>
      <c r="D79" s="6" t="n">
        <f aca="false">SUMIF(Topics!$F$2:$F$213,A79,Topics!$L$2:$L$213)</f>
        <v>21</v>
      </c>
      <c r="E79" s="6" t="n">
        <f aca="false">C79+D79</f>
        <v>21</v>
      </c>
      <c r="F79" s="8" t="n">
        <f aca="false">IF($E$7=0,0,E79/$E$7)</f>
        <v>0.0138248847926267</v>
      </c>
    </row>
    <row r="80" customFormat="false" ht="15" hidden="false" customHeight="false" outlineLevel="0" collapsed="false">
      <c r="A80" s="6" t="s">
        <v>101</v>
      </c>
      <c r="B80" s="6" t="n">
        <f aca="false">COUNTIF(Topics!$F$2:$F$213,A80)</f>
        <v>4</v>
      </c>
      <c r="C80" s="6" t="n">
        <f aca="false">SUMIF(Topics!$F$2:$F$213,A80,Topics!$K$2:$K$213)</f>
        <v>25</v>
      </c>
      <c r="D80" s="6" t="n">
        <f aca="false">SUMIF(Topics!$F$2:$F$213,A80,Topics!$L$2:$L$213)</f>
        <v>31</v>
      </c>
      <c r="E80" s="6" t="n">
        <f aca="false">C80+D80</f>
        <v>56</v>
      </c>
      <c r="F80" s="8" t="n">
        <f aca="false">IF($E$7=0,0,E80/$E$7)</f>
        <v>0.0368663594470046</v>
      </c>
    </row>
    <row r="81" customFormat="false" ht="15" hidden="false" customHeight="false" outlineLevel="0" collapsed="false">
      <c r="A81" s="6"/>
      <c r="B81" s="6"/>
      <c r="C81" s="6"/>
      <c r="D81" s="6"/>
      <c r="E81" s="6"/>
      <c r="F81" s="6"/>
    </row>
    <row r="82" customFormat="false" ht="15" hidden="false" customHeight="false" outlineLevel="0" collapsed="false">
      <c r="A82" s="5" t="s">
        <v>102</v>
      </c>
      <c r="B82" s="6"/>
      <c r="C82" s="6"/>
      <c r="D82" s="6"/>
      <c r="E82" s="6"/>
      <c r="F82" s="6"/>
    </row>
    <row r="83" customFormat="false" ht="15" hidden="false" customHeight="false" outlineLevel="0" collapsed="false">
      <c r="A83" s="7" t="s">
        <v>38</v>
      </c>
      <c r="B83" s="7" t="s">
        <v>103</v>
      </c>
      <c r="C83" s="6"/>
      <c r="D83" s="6"/>
      <c r="E83" s="6"/>
      <c r="F83" s="6"/>
    </row>
    <row r="84" customFormat="false" ht="15" hidden="false" customHeight="false" outlineLevel="0" collapsed="false">
      <c r="A84" s="6" t="s">
        <v>39</v>
      </c>
      <c r="B84" s="6" t="n">
        <f aca="false">COUNTIF('Level outcomes'!$A$2:$A$104,"1")</f>
        <v>7</v>
      </c>
      <c r="C84" s="6"/>
      <c r="D84" s="6"/>
      <c r="E84" s="6"/>
      <c r="F84" s="6"/>
    </row>
    <row r="85" customFormat="false" ht="15" hidden="false" customHeight="false" outlineLevel="0" collapsed="false">
      <c r="A85" s="6" t="s">
        <v>40</v>
      </c>
      <c r="B85" s="6" t="n">
        <f aca="false">COUNTIF('Level outcomes'!$A$2:$A$104,"2")</f>
        <v>8</v>
      </c>
      <c r="C85" s="6"/>
      <c r="D85" s="6"/>
      <c r="E85" s="6"/>
      <c r="F85" s="6"/>
    </row>
    <row r="86" customFormat="false" ht="15" hidden="false" customHeight="false" outlineLevel="0" collapsed="false">
      <c r="A86" s="6" t="s">
        <v>41</v>
      </c>
      <c r="B86" s="6" t="n">
        <f aca="false">COUNTIF('Level outcomes'!$A$2:$A$104,"3")</f>
        <v>8</v>
      </c>
      <c r="C86" s="6"/>
      <c r="D86" s="6"/>
      <c r="E86" s="6"/>
      <c r="F86" s="6"/>
    </row>
    <row r="87" customFormat="false" ht="15" hidden="false" customHeight="false" outlineLevel="0" collapsed="false">
      <c r="A87" s="6" t="s">
        <v>42</v>
      </c>
      <c r="B87" s="6" t="n">
        <f aca="false">COUNTIF('Level outcomes'!$A$2:$A$104,"4")</f>
        <v>8</v>
      </c>
      <c r="C87" s="6"/>
      <c r="D87" s="6"/>
      <c r="E87" s="6"/>
      <c r="F87" s="6"/>
    </row>
    <row r="88" customFormat="false" ht="15" hidden="false" customHeight="false" outlineLevel="0" collapsed="false">
      <c r="A88" s="6" t="s">
        <v>43</v>
      </c>
      <c r="B88" s="6" t="n">
        <f aca="false">COUNTIF('Level outcomes'!$A$2:$A$104,"5")</f>
        <v>8</v>
      </c>
      <c r="C88" s="6"/>
      <c r="D88" s="6"/>
      <c r="E88" s="6"/>
      <c r="F88" s="6"/>
    </row>
    <row r="89" customFormat="false" ht="15" hidden="false" customHeight="false" outlineLevel="0" collapsed="false">
      <c r="A89" s="6" t="s">
        <v>44</v>
      </c>
      <c r="B89" s="6" t="n">
        <f aca="false">COUNTIF('Level outcomes'!$A$2:$A$104,"6")</f>
        <v>8</v>
      </c>
      <c r="C89" s="6"/>
      <c r="D89" s="6"/>
      <c r="E89" s="6"/>
      <c r="F89" s="6"/>
    </row>
    <row r="90" customFormat="false" ht="15" hidden="false" customHeight="false" outlineLevel="0" collapsed="false">
      <c r="A90" s="6" t="s">
        <v>45</v>
      </c>
      <c r="B90" s="6" t="n">
        <f aca="false">COUNTIF('Level outcomes'!$A$2:$A$104,"7")</f>
        <v>8</v>
      </c>
      <c r="C90" s="6"/>
      <c r="D90" s="6"/>
      <c r="E90" s="6"/>
      <c r="F90" s="6"/>
    </row>
    <row r="91" customFormat="false" ht="15" hidden="false" customHeight="false" outlineLevel="0" collapsed="false">
      <c r="A91" s="6" t="s">
        <v>46</v>
      </c>
      <c r="B91" s="6" t="n">
        <f aca="false">COUNTIF('Level outcomes'!$A$2:$A$104,"8")</f>
        <v>8</v>
      </c>
      <c r="C91" s="6"/>
      <c r="D91" s="6"/>
      <c r="E91" s="6"/>
      <c r="F91" s="6"/>
    </row>
    <row r="92" customFormat="false" ht="15" hidden="false" customHeight="false" outlineLevel="0" collapsed="false">
      <c r="A92" s="6" t="s">
        <v>47</v>
      </c>
      <c r="B92" s="6" t="n">
        <f aca="false">COUNTIF('Level outcomes'!$A$2:$A$104,"9")</f>
        <v>8</v>
      </c>
      <c r="C92" s="6"/>
      <c r="D92" s="6"/>
      <c r="E92" s="6"/>
      <c r="F92" s="6"/>
    </row>
    <row r="93" customFormat="false" ht="15" hidden="false" customHeight="false" outlineLevel="0" collapsed="false">
      <c r="A93" s="6" t="s">
        <v>48</v>
      </c>
      <c r="B93" s="6" t="n">
        <f aca="false">COUNTIF('Level outcomes'!$A$2:$A$104,"10")</f>
        <v>8</v>
      </c>
      <c r="C93" s="6"/>
      <c r="D93" s="6"/>
      <c r="E93" s="6"/>
      <c r="F93" s="6"/>
    </row>
    <row r="94" customFormat="false" ht="15" hidden="false" customHeight="false" outlineLevel="0" collapsed="false">
      <c r="A94" s="6" t="s">
        <v>49</v>
      </c>
      <c r="B94" s="6" t="n">
        <f aca="false">COUNTIF('Level outcomes'!$A$2:$A$104,"11")</f>
        <v>8</v>
      </c>
      <c r="C94" s="6"/>
      <c r="D94" s="6"/>
      <c r="E94" s="6"/>
      <c r="F94" s="6"/>
    </row>
    <row r="95" customFormat="false" ht="15" hidden="false" customHeight="false" outlineLevel="0" collapsed="false">
      <c r="A95" s="6" t="s">
        <v>50</v>
      </c>
      <c r="B95" s="6" t="n">
        <f aca="false">COUNTIF('Level outcomes'!$A$2:$A$104,"12")</f>
        <v>8</v>
      </c>
      <c r="C95" s="6"/>
      <c r="D95" s="6"/>
      <c r="E95" s="6"/>
      <c r="F95" s="6"/>
    </row>
    <row r="96" customFormat="false" ht="15" hidden="false" customHeight="false" outlineLevel="0" collapsed="false">
      <c r="A96" s="6" t="s">
        <v>51</v>
      </c>
      <c r="B96" s="6" t="n">
        <f aca="false">COUNTIF('Level outcomes'!$A$2:$A$104,"U")</f>
        <v>8</v>
      </c>
      <c r="C96" s="6"/>
      <c r="D96" s="6"/>
      <c r="E96" s="6"/>
      <c r="F96"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1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4" min="4" style="0" width="30"/>
    <col collapsed="false" customWidth="true" hidden="false" outlineLevel="0" max="5" min="5" style="0" width="50"/>
    <col collapsed="false" customWidth="true" hidden="false" outlineLevel="0" max="6" min="6" style="0" width="22"/>
    <col collapsed="false" customWidth="true" hidden="false" outlineLevel="0" max="7" min="7" style="0" width="16"/>
    <col collapsed="false" customWidth="true" hidden="false" outlineLevel="0" max="8" min="8" style="0" width="22"/>
    <col collapsed="false" customWidth="true" hidden="false" outlineLevel="0" max="9" min="9" style="0" width="13"/>
    <col collapsed="false" customWidth="true" hidden="false" outlineLevel="0" max="13" min="10" style="0" width="9"/>
    <col collapsed="false" customWidth="true" hidden="false" outlineLevel="0" max="14" min="14" style="0" width="18"/>
    <col collapsed="false" customWidth="true" hidden="false" outlineLevel="0" max="15" min="15" style="0" width="45"/>
    <col collapsed="false" customWidth="true" hidden="false" outlineLevel="0" max="16" min="16" style="0" width="26"/>
    <col collapsed="false" customWidth="true" hidden="false" outlineLevel="0" max="17" min="17" style="0" width="40"/>
  </cols>
  <sheetData>
    <row r="1" customFormat="false" ht="23.85" hidden="false" customHeight="false" outlineLevel="0" collapsed="false">
      <c r="A1" s="10" t="s">
        <v>104</v>
      </c>
      <c r="B1" s="10" t="s">
        <v>26</v>
      </c>
      <c r="C1" s="10" t="s">
        <v>105</v>
      </c>
      <c r="D1" s="10" t="s">
        <v>106</v>
      </c>
      <c r="E1" s="10" t="s">
        <v>107</v>
      </c>
      <c r="F1" s="10" t="s">
        <v>108</v>
      </c>
      <c r="G1" s="10" t="s">
        <v>109</v>
      </c>
      <c r="H1" s="10" t="s">
        <v>110</v>
      </c>
      <c r="I1" s="10" t="s">
        <v>111</v>
      </c>
      <c r="J1" s="10" t="s">
        <v>112</v>
      </c>
      <c r="K1" s="10" t="s">
        <v>28</v>
      </c>
      <c r="L1" s="10" t="s">
        <v>29</v>
      </c>
      <c r="M1" s="10" t="s">
        <v>30</v>
      </c>
      <c r="N1" s="10" t="s">
        <v>103</v>
      </c>
      <c r="O1" s="10" t="s">
        <v>113</v>
      </c>
      <c r="P1" s="10" t="s">
        <v>114</v>
      </c>
      <c r="Q1" s="10" t="s">
        <v>115</v>
      </c>
    </row>
    <row r="2" customFormat="false" ht="23.85" hidden="false" customHeight="false" outlineLevel="0" collapsed="false">
      <c r="A2" s="2" t="s">
        <v>116</v>
      </c>
      <c r="B2" s="2" t="s">
        <v>32</v>
      </c>
      <c r="C2" s="2" t="s">
        <v>117</v>
      </c>
      <c r="D2" s="2" t="s">
        <v>118</v>
      </c>
      <c r="E2" s="2" t="s">
        <v>119</v>
      </c>
      <c r="F2" s="2" t="s">
        <v>78</v>
      </c>
      <c r="G2" s="2" t="s">
        <v>62</v>
      </c>
      <c r="H2" s="2" t="s">
        <v>75</v>
      </c>
      <c r="I2" s="2" t="s">
        <v>120</v>
      </c>
      <c r="J2" s="2" t="s">
        <v>55</v>
      </c>
      <c r="K2" s="2" t="n">
        <v>0</v>
      </c>
      <c r="L2" s="11" t="n">
        <v>10</v>
      </c>
      <c r="M2" s="2" t="n">
        <f aca="false">K2+L2</f>
        <v>10</v>
      </c>
      <c r="N2" s="2" t="s">
        <v>121</v>
      </c>
      <c r="O2" s="2" t="s">
        <v>122</v>
      </c>
      <c r="P2" s="2"/>
      <c r="Q2" s="2" t="s">
        <v>123</v>
      </c>
    </row>
    <row r="3" customFormat="false" ht="46.25" hidden="false" customHeight="false" outlineLevel="0" collapsed="false">
      <c r="A3" s="2" t="s">
        <v>124</v>
      </c>
      <c r="B3" s="2" t="s">
        <v>32</v>
      </c>
      <c r="C3" s="2" t="s">
        <v>125</v>
      </c>
      <c r="D3" s="2" t="s">
        <v>126</v>
      </c>
      <c r="E3" s="2" t="s">
        <v>127</v>
      </c>
      <c r="F3" s="2" t="s">
        <v>78</v>
      </c>
      <c r="G3" s="2" t="s">
        <v>62</v>
      </c>
      <c r="H3" s="2" t="s">
        <v>71</v>
      </c>
      <c r="I3" s="2" t="s">
        <v>120</v>
      </c>
      <c r="J3" s="2" t="s">
        <v>56</v>
      </c>
      <c r="K3" s="2" t="n">
        <v>0</v>
      </c>
      <c r="L3" s="11" t="n">
        <v>12</v>
      </c>
      <c r="M3" s="2" t="n">
        <f aca="false">K3+L3</f>
        <v>12</v>
      </c>
      <c r="N3" s="2" t="s">
        <v>128</v>
      </c>
      <c r="O3" s="2" t="s">
        <v>129</v>
      </c>
      <c r="P3" s="2"/>
      <c r="Q3" s="2" t="s">
        <v>130</v>
      </c>
    </row>
    <row r="4" customFormat="false" ht="23.85" hidden="false" customHeight="false" outlineLevel="0" collapsed="false">
      <c r="A4" s="2" t="s">
        <v>131</v>
      </c>
      <c r="B4" s="2" t="s">
        <v>32</v>
      </c>
      <c r="C4" s="2" t="s">
        <v>125</v>
      </c>
      <c r="D4" s="2" t="s">
        <v>132</v>
      </c>
      <c r="E4" s="2" t="s">
        <v>133</v>
      </c>
      <c r="F4" s="2" t="s">
        <v>78</v>
      </c>
      <c r="G4" s="2" t="s">
        <v>62</v>
      </c>
      <c r="H4" s="2" t="s">
        <v>71</v>
      </c>
      <c r="I4" s="2" t="s">
        <v>120</v>
      </c>
      <c r="J4" s="2" t="s">
        <v>56</v>
      </c>
      <c r="K4" s="2" t="n">
        <v>0</v>
      </c>
      <c r="L4" s="11" t="n">
        <v>10</v>
      </c>
      <c r="M4" s="2" t="n">
        <f aca="false">K4+L4</f>
        <v>10</v>
      </c>
      <c r="N4" s="2" t="s">
        <v>134</v>
      </c>
      <c r="O4" s="2" t="s">
        <v>135</v>
      </c>
      <c r="P4" s="2"/>
      <c r="Q4" s="2" t="s">
        <v>136</v>
      </c>
    </row>
    <row r="5" customFormat="false" ht="23.85" hidden="false" customHeight="false" outlineLevel="0" collapsed="false">
      <c r="A5" s="2" t="s">
        <v>137</v>
      </c>
      <c r="B5" s="2" t="s">
        <v>32</v>
      </c>
      <c r="C5" s="2" t="s">
        <v>125</v>
      </c>
      <c r="D5" s="2" t="s">
        <v>138</v>
      </c>
      <c r="E5" s="2" t="s">
        <v>139</v>
      </c>
      <c r="F5" s="2" t="s">
        <v>78</v>
      </c>
      <c r="G5" s="2" t="s">
        <v>62</v>
      </c>
      <c r="H5" s="2" t="s">
        <v>75</v>
      </c>
      <c r="I5" s="2" t="s">
        <v>120</v>
      </c>
      <c r="J5" s="2" t="s">
        <v>55</v>
      </c>
      <c r="K5" s="2" t="n">
        <v>0</v>
      </c>
      <c r="L5" s="11" t="n">
        <v>10</v>
      </c>
      <c r="M5" s="2" t="n">
        <f aca="false">K5+L5</f>
        <v>10</v>
      </c>
      <c r="N5" s="2" t="s">
        <v>140</v>
      </c>
      <c r="O5" s="2" t="s">
        <v>141</v>
      </c>
      <c r="P5" s="2"/>
      <c r="Q5" s="2" t="s">
        <v>142</v>
      </c>
    </row>
    <row r="6" customFormat="false" ht="23.85" hidden="false" customHeight="false" outlineLevel="0" collapsed="false">
      <c r="A6" s="2" t="s">
        <v>143</v>
      </c>
      <c r="B6" s="2" t="s">
        <v>32</v>
      </c>
      <c r="C6" s="2" t="s">
        <v>125</v>
      </c>
      <c r="D6" s="2" t="s">
        <v>144</v>
      </c>
      <c r="E6" s="2" t="s">
        <v>145</v>
      </c>
      <c r="F6" s="2" t="s">
        <v>78</v>
      </c>
      <c r="G6" s="2" t="s">
        <v>62</v>
      </c>
      <c r="H6" s="2" t="s">
        <v>67</v>
      </c>
      <c r="I6" s="2" t="s">
        <v>120</v>
      </c>
      <c r="J6" s="2" t="s">
        <v>56</v>
      </c>
      <c r="K6" s="2" t="n">
        <v>0</v>
      </c>
      <c r="L6" s="11" t="n">
        <v>10</v>
      </c>
      <c r="M6" s="2" t="n">
        <f aca="false">K6+L6</f>
        <v>10</v>
      </c>
      <c r="N6" s="2" t="s">
        <v>146</v>
      </c>
      <c r="O6" s="2" t="s">
        <v>147</v>
      </c>
      <c r="P6" s="2"/>
      <c r="Q6" s="2" t="s">
        <v>148</v>
      </c>
    </row>
    <row r="7" customFormat="false" ht="23.85" hidden="false" customHeight="false" outlineLevel="0" collapsed="false">
      <c r="A7" s="2" t="s">
        <v>149</v>
      </c>
      <c r="B7" s="2" t="s">
        <v>32</v>
      </c>
      <c r="C7" s="2" t="s">
        <v>150</v>
      </c>
      <c r="D7" s="2" t="s">
        <v>151</v>
      </c>
      <c r="E7" s="2" t="s">
        <v>152</v>
      </c>
      <c r="F7" s="2" t="s">
        <v>78</v>
      </c>
      <c r="G7" s="2" t="s">
        <v>62</v>
      </c>
      <c r="H7" s="2" t="s">
        <v>76</v>
      </c>
      <c r="I7" s="2" t="s">
        <v>120</v>
      </c>
      <c r="J7" s="2" t="s">
        <v>55</v>
      </c>
      <c r="K7" s="2" t="n">
        <v>0</v>
      </c>
      <c r="L7" s="11" t="n">
        <v>10</v>
      </c>
      <c r="M7" s="2" t="n">
        <f aca="false">K7+L7</f>
        <v>10</v>
      </c>
      <c r="N7" s="2" t="s">
        <v>153</v>
      </c>
      <c r="O7" s="2" t="s">
        <v>154</v>
      </c>
      <c r="P7" s="2"/>
      <c r="Q7" s="2" t="s">
        <v>155</v>
      </c>
    </row>
    <row r="8" customFormat="false" ht="35.05" hidden="false" customHeight="false" outlineLevel="0" collapsed="false">
      <c r="A8" s="2" t="s">
        <v>156</v>
      </c>
      <c r="B8" s="2" t="s">
        <v>32</v>
      </c>
      <c r="C8" s="2" t="s">
        <v>117</v>
      </c>
      <c r="D8" s="2" t="s">
        <v>157</v>
      </c>
      <c r="E8" s="2" t="s">
        <v>158</v>
      </c>
      <c r="F8" s="2" t="s">
        <v>78</v>
      </c>
      <c r="G8" s="2" t="s">
        <v>59</v>
      </c>
      <c r="H8" s="2" t="s">
        <v>72</v>
      </c>
      <c r="I8" s="2" t="s">
        <v>120</v>
      </c>
      <c r="J8" s="2" t="s">
        <v>55</v>
      </c>
      <c r="K8" s="2" t="n">
        <v>0</v>
      </c>
      <c r="L8" s="11" t="n">
        <v>6</v>
      </c>
      <c r="M8" s="2" t="n">
        <f aca="false">K8+L8</f>
        <v>6</v>
      </c>
      <c r="N8" s="2" t="s">
        <v>159</v>
      </c>
      <c r="O8" s="2" t="s">
        <v>160</v>
      </c>
      <c r="P8" s="2"/>
      <c r="Q8" s="2" t="s">
        <v>161</v>
      </c>
    </row>
    <row r="9" customFormat="false" ht="35.05" hidden="false" customHeight="false" outlineLevel="0" collapsed="false">
      <c r="A9" s="2" t="s">
        <v>162</v>
      </c>
      <c r="B9" s="2" t="s">
        <v>32</v>
      </c>
      <c r="C9" s="2" t="s">
        <v>163</v>
      </c>
      <c r="D9" s="2" t="s">
        <v>164</v>
      </c>
      <c r="E9" s="2" t="s">
        <v>165</v>
      </c>
      <c r="F9" s="2" t="s">
        <v>79</v>
      </c>
      <c r="G9" s="2" t="s">
        <v>59</v>
      </c>
      <c r="H9" s="2" t="s">
        <v>71</v>
      </c>
      <c r="I9" s="2" t="s">
        <v>120</v>
      </c>
      <c r="J9" s="2" t="s">
        <v>55</v>
      </c>
      <c r="K9" s="2" t="n">
        <v>0</v>
      </c>
      <c r="L9" s="11" t="n">
        <v>8</v>
      </c>
      <c r="M9" s="2" t="n">
        <f aca="false">K9+L9</f>
        <v>8</v>
      </c>
      <c r="N9" s="2" t="s">
        <v>166</v>
      </c>
      <c r="O9" s="2" t="s">
        <v>167</v>
      </c>
      <c r="P9" s="2"/>
      <c r="Q9" s="2" t="s">
        <v>168</v>
      </c>
    </row>
    <row r="10" customFormat="false" ht="23.85" hidden="false" customHeight="false" outlineLevel="0" collapsed="false">
      <c r="A10" s="2" t="s">
        <v>169</v>
      </c>
      <c r="B10" s="2" t="s">
        <v>32</v>
      </c>
      <c r="C10" s="2" t="s">
        <v>163</v>
      </c>
      <c r="D10" s="2" t="s">
        <v>170</v>
      </c>
      <c r="E10" s="2" t="s">
        <v>171</v>
      </c>
      <c r="F10" s="2" t="s">
        <v>80</v>
      </c>
      <c r="G10" s="2" t="s">
        <v>62</v>
      </c>
      <c r="H10" s="2" t="s">
        <v>74</v>
      </c>
      <c r="I10" s="2" t="s">
        <v>120</v>
      </c>
      <c r="J10" s="2" t="s">
        <v>55</v>
      </c>
      <c r="K10" s="2" t="n">
        <v>0</v>
      </c>
      <c r="L10" s="11" t="n">
        <v>7</v>
      </c>
      <c r="M10" s="2" t="n">
        <f aca="false">K10+L10</f>
        <v>7</v>
      </c>
      <c r="N10" s="2" t="s">
        <v>172</v>
      </c>
      <c r="O10" s="2" t="s">
        <v>173</v>
      </c>
      <c r="P10" s="2"/>
      <c r="Q10" s="2" t="s">
        <v>174</v>
      </c>
    </row>
    <row r="11" customFormat="false" ht="35.05" hidden="false" customHeight="false" outlineLevel="0" collapsed="false">
      <c r="A11" s="2" t="s">
        <v>175</v>
      </c>
      <c r="B11" s="2" t="s">
        <v>32</v>
      </c>
      <c r="C11" s="2" t="s">
        <v>163</v>
      </c>
      <c r="D11" s="2" t="s">
        <v>176</v>
      </c>
      <c r="E11" s="2" t="s">
        <v>177</v>
      </c>
      <c r="F11" s="2" t="s">
        <v>80</v>
      </c>
      <c r="G11" s="2" t="s">
        <v>62</v>
      </c>
      <c r="H11" s="2" t="s">
        <v>71</v>
      </c>
      <c r="I11" s="2" t="s">
        <v>120</v>
      </c>
      <c r="J11" s="2" t="s">
        <v>55</v>
      </c>
      <c r="K11" s="2" t="n">
        <v>0</v>
      </c>
      <c r="L11" s="11" t="n">
        <v>6</v>
      </c>
      <c r="M11" s="2" t="n">
        <f aca="false">K11+L11</f>
        <v>6</v>
      </c>
      <c r="N11" s="2" t="s">
        <v>178</v>
      </c>
      <c r="O11" s="2" t="s">
        <v>179</v>
      </c>
      <c r="P11" s="2"/>
      <c r="Q11" s="2" t="s">
        <v>180</v>
      </c>
    </row>
    <row r="12" customFormat="false" ht="23.85" hidden="false" customHeight="false" outlineLevel="0" collapsed="false">
      <c r="A12" s="2" t="s">
        <v>181</v>
      </c>
      <c r="B12" s="2" t="s">
        <v>32</v>
      </c>
      <c r="C12" s="2" t="s">
        <v>163</v>
      </c>
      <c r="D12" s="2" t="s">
        <v>182</v>
      </c>
      <c r="E12" s="2" t="s">
        <v>183</v>
      </c>
      <c r="F12" s="2" t="s">
        <v>80</v>
      </c>
      <c r="G12" s="2" t="s">
        <v>62</v>
      </c>
      <c r="H12" s="2" t="s">
        <v>67</v>
      </c>
      <c r="I12" s="2" t="s">
        <v>120</v>
      </c>
      <c r="J12" s="2" t="s">
        <v>55</v>
      </c>
      <c r="K12" s="2" t="n">
        <v>0</v>
      </c>
      <c r="L12" s="11" t="n">
        <v>6</v>
      </c>
      <c r="M12" s="2" t="n">
        <f aca="false">K12+L12</f>
        <v>6</v>
      </c>
      <c r="N12" s="2" t="s">
        <v>184</v>
      </c>
      <c r="O12" s="2" t="s">
        <v>185</v>
      </c>
      <c r="P12" s="2"/>
      <c r="Q12" s="2" t="s">
        <v>186</v>
      </c>
    </row>
    <row r="13" customFormat="false" ht="23.85" hidden="false" customHeight="false" outlineLevel="0" collapsed="false">
      <c r="A13" s="2" t="s">
        <v>187</v>
      </c>
      <c r="B13" s="2" t="s">
        <v>32</v>
      </c>
      <c r="C13" s="2" t="s">
        <v>163</v>
      </c>
      <c r="D13" s="2" t="s">
        <v>188</v>
      </c>
      <c r="E13" s="2" t="s">
        <v>189</v>
      </c>
      <c r="F13" s="2" t="s">
        <v>80</v>
      </c>
      <c r="G13" s="2" t="s">
        <v>62</v>
      </c>
      <c r="H13" s="2" t="s">
        <v>76</v>
      </c>
      <c r="I13" s="2" t="s">
        <v>120</v>
      </c>
      <c r="J13" s="2" t="s">
        <v>55</v>
      </c>
      <c r="K13" s="2" t="n">
        <v>0</v>
      </c>
      <c r="L13" s="11" t="n">
        <v>6</v>
      </c>
      <c r="M13" s="2" t="n">
        <f aca="false">K13+L13</f>
        <v>6</v>
      </c>
      <c r="N13" s="2" t="s">
        <v>190</v>
      </c>
      <c r="O13" s="2" t="s">
        <v>191</v>
      </c>
      <c r="P13" s="2"/>
      <c r="Q13" s="2" t="s">
        <v>192</v>
      </c>
    </row>
    <row r="14" customFormat="false" ht="15" hidden="false" customHeight="false" outlineLevel="0" collapsed="false">
      <c r="A14" s="2" t="s">
        <v>193</v>
      </c>
      <c r="B14" s="2" t="s">
        <v>32</v>
      </c>
      <c r="C14" s="2" t="s">
        <v>194</v>
      </c>
      <c r="D14" s="2" t="s">
        <v>195</v>
      </c>
      <c r="E14" s="2" t="s">
        <v>196</v>
      </c>
      <c r="F14" s="2" t="s">
        <v>81</v>
      </c>
      <c r="G14" s="2" t="s">
        <v>62</v>
      </c>
      <c r="H14" s="2" t="s">
        <v>71</v>
      </c>
      <c r="I14" s="2" t="s">
        <v>120</v>
      </c>
      <c r="J14" s="2" t="s">
        <v>56</v>
      </c>
      <c r="K14" s="2" t="n">
        <v>0</v>
      </c>
      <c r="L14" s="11" t="n">
        <v>9</v>
      </c>
      <c r="M14" s="2" t="n">
        <f aca="false">K14+L14</f>
        <v>9</v>
      </c>
      <c r="N14" s="2" t="s">
        <v>197</v>
      </c>
      <c r="O14" s="2" t="s">
        <v>198</v>
      </c>
      <c r="P14" s="2"/>
      <c r="Q14" s="2" t="s">
        <v>199</v>
      </c>
    </row>
    <row r="15" customFormat="false" ht="23.85" hidden="false" customHeight="false" outlineLevel="0" collapsed="false">
      <c r="A15" s="2" t="s">
        <v>200</v>
      </c>
      <c r="B15" s="2" t="s">
        <v>32</v>
      </c>
      <c r="C15" s="2" t="s">
        <v>194</v>
      </c>
      <c r="D15" s="2" t="s">
        <v>201</v>
      </c>
      <c r="E15" s="2" t="s">
        <v>202</v>
      </c>
      <c r="F15" s="2" t="s">
        <v>81</v>
      </c>
      <c r="G15" s="2" t="s">
        <v>62</v>
      </c>
      <c r="H15" s="2" t="s">
        <v>71</v>
      </c>
      <c r="I15" s="2" t="s">
        <v>120</v>
      </c>
      <c r="J15" s="2" t="s">
        <v>55</v>
      </c>
      <c r="K15" s="2" t="n">
        <v>0</v>
      </c>
      <c r="L15" s="11" t="n">
        <v>6</v>
      </c>
      <c r="M15" s="2" t="n">
        <f aca="false">K15+L15</f>
        <v>6</v>
      </c>
      <c r="N15" s="2" t="s">
        <v>203</v>
      </c>
      <c r="O15" s="2" t="s">
        <v>204</v>
      </c>
      <c r="P15" s="2"/>
      <c r="Q15" s="2" t="s">
        <v>205</v>
      </c>
    </row>
    <row r="16" customFormat="false" ht="23.85" hidden="false" customHeight="false" outlineLevel="0" collapsed="false">
      <c r="A16" s="2" t="s">
        <v>206</v>
      </c>
      <c r="B16" s="2" t="s">
        <v>32</v>
      </c>
      <c r="C16" s="2" t="s">
        <v>194</v>
      </c>
      <c r="D16" s="2" t="s">
        <v>207</v>
      </c>
      <c r="E16" s="2" t="s">
        <v>208</v>
      </c>
      <c r="F16" s="2" t="s">
        <v>81</v>
      </c>
      <c r="G16" s="2" t="s">
        <v>62</v>
      </c>
      <c r="H16" s="2" t="s">
        <v>71</v>
      </c>
      <c r="I16" s="2" t="s">
        <v>120</v>
      </c>
      <c r="J16" s="2" t="s">
        <v>55</v>
      </c>
      <c r="K16" s="2" t="n">
        <v>0</v>
      </c>
      <c r="L16" s="11" t="n">
        <v>6</v>
      </c>
      <c r="M16" s="2" t="n">
        <f aca="false">K16+L16</f>
        <v>6</v>
      </c>
      <c r="N16" s="2" t="s">
        <v>209</v>
      </c>
      <c r="O16" s="2" t="s">
        <v>210</v>
      </c>
      <c r="P16" s="2"/>
      <c r="Q16" s="2" t="s">
        <v>211</v>
      </c>
    </row>
    <row r="17" customFormat="false" ht="57.45" hidden="false" customHeight="false" outlineLevel="0" collapsed="false">
      <c r="A17" s="2" t="s">
        <v>212</v>
      </c>
      <c r="B17" s="2" t="s">
        <v>32</v>
      </c>
      <c r="C17" s="2" t="s">
        <v>194</v>
      </c>
      <c r="D17" s="2" t="s">
        <v>213</v>
      </c>
      <c r="E17" s="2" t="s">
        <v>214</v>
      </c>
      <c r="F17" s="2" t="s">
        <v>90</v>
      </c>
      <c r="G17" s="2" t="s">
        <v>62</v>
      </c>
      <c r="H17" s="2" t="s">
        <v>74</v>
      </c>
      <c r="I17" s="2" t="s">
        <v>120</v>
      </c>
      <c r="J17" s="2" t="s">
        <v>55</v>
      </c>
      <c r="K17" s="2" t="n">
        <v>0</v>
      </c>
      <c r="L17" s="11" t="n">
        <v>10</v>
      </c>
      <c r="M17" s="2" t="n">
        <f aca="false">K17+L17</f>
        <v>10</v>
      </c>
      <c r="N17" s="2" t="s">
        <v>215</v>
      </c>
      <c r="O17" s="2" t="s">
        <v>216</v>
      </c>
      <c r="P17" s="2"/>
      <c r="Q17" s="2" t="s">
        <v>217</v>
      </c>
    </row>
    <row r="18" customFormat="false" ht="23.85" hidden="false" customHeight="false" outlineLevel="0" collapsed="false">
      <c r="A18" s="2" t="s">
        <v>218</v>
      </c>
      <c r="B18" s="2" t="s">
        <v>32</v>
      </c>
      <c r="C18" s="2" t="s">
        <v>194</v>
      </c>
      <c r="D18" s="2" t="s">
        <v>219</v>
      </c>
      <c r="E18" s="2" t="s">
        <v>220</v>
      </c>
      <c r="F18" s="2" t="s">
        <v>91</v>
      </c>
      <c r="G18" s="2" t="s">
        <v>62</v>
      </c>
      <c r="H18" s="2" t="s">
        <v>74</v>
      </c>
      <c r="I18" s="2" t="s">
        <v>120</v>
      </c>
      <c r="J18" s="2" t="s">
        <v>56</v>
      </c>
      <c r="K18" s="2" t="n">
        <v>0</v>
      </c>
      <c r="L18" s="11" t="n">
        <v>6</v>
      </c>
      <c r="M18" s="2" t="n">
        <f aca="false">K18+L18</f>
        <v>6</v>
      </c>
      <c r="N18" s="2" t="s">
        <v>221</v>
      </c>
      <c r="O18" s="2" t="s">
        <v>222</v>
      </c>
      <c r="P18" s="2"/>
      <c r="Q18" s="2" t="s">
        <v>223</v>
      </c>
    </row>
    <row r="19" customFormat="false" ht="57.45" hidden="false" customHeight="false" outlineLevel="0" collapsed="false">
      <c r="A19" s="2" t="s">
        <v>224</v>
      </c>
      <c r="B19" s="2" t="s">
        <v>32</v>
      </c>
      <c r="C19" s="2" t="s">
        <v>225</v>
      </c>
      <c r="D19" s="2" t="s">
        <v>226</v>
      </c>
      <c r="E19" s="2" t="s">
        <v>227</v>
      </c>
      <c r="F19" s="2" t="s">
        <v>78</v>
      </c>
      <c r="G19" s="2" t="s">
        <v>62</v>
      </c>
      <c r="H19" s="2" t="s">
        <v>76</v>
      </c>
      <c r="I19" s="2" t="s">
        <v>120</v>
      </c>
      <c r="J19" s="2" t="s">
        <v>55</v>
      </c>
      <c r="K19" s="2" t="n">
        <v>0</v>
      </c>
      <c r="L19" s="11" t="n">
        <v>8</v>
      </c>
      <c r="M19" s="2" t="n">
        <f aca="false">K19+L19</f>
        <v>8</v>
      </c>
      <c r="N19" s="2" t="s">
        <v>228</v>
      </c>
      <c r="O19" s="2" t="s">
        <v>229</v>
      </c>
      <c r="P19" s="2"/>
      <c r="Q19" s="2" t="s">
        <v>230</v>
      </c>
    </row>
    <row r="20" customFormat="false" ht="91" hidden="false" customHeight="false" outlineLevel="0" collapsed="false">
      <c r="A20" s="2" t="s">
        <v>231</v>
      </c>
      <c r="B20" s="2" t="s">
        <v>32</v>
      </c>
      <c r="C20" s="2" t="s">
        <v>194</v>
      </c>
      <c r="D20" s="2" t="s">
        <v>232</v>
      </c>
      <c r="E20" s="2" t="s">
        <v>233</v>
      </c>
      <c r="F20" s="2" t="s">
        <v>91</v>
      </c>
      <c r="G20" s="2" t="s">
        <v>62</v>
      </c>
      <c r="H20" s="2" t="s">
        <v>71</v>
      </c>
      <c r="I20" s="2" t="s">
        <v>120</v>
      </c>
      <c r="J20" s="2" t="s">
        <v>56</v>
      </c>
      <c r="K20" s="2" t="n">
        <v>0</v>
      </c>
      <c r="L20" s="11" t="n">
        <v>6</v>
      </c>
      <c r="M20" s="2" t="n">
        <f aca="false">K20+L20</f>
        <v>6</v>
      </c>
      <c r="N20" s="2" t="s">
        <v>234</v>
      </c>
      <c r="O20" s="2" t="s">
        <v>235</v>
      </c>
      <c r="P20" s="2"/>
      <c r="Q20" s="2" t="s">
        <v>236</v>
      </c>
    </row>
    <row r="21" customFormat="false" ht="57.45" hidden="false" customHeight="false" outlineLevel="0" collapsed="false">
      <c r="A21" s="2" t="s">
        <v>237</v>
      </c>
      <c r="B21" s="2" t="s">
        <v>32</v>
      </c>
      <c r="C21" s="2" t="s">
        <v>194</v>
      </c>
      <c r="D21" s="2" t="s">
        <v>238</v>
      </c>
      <c r="E21" s="2" t="s">
        <v>239</v>
      </c>
      <c r="F21" s="2" t="s">
        <v>93</v>
      </c>
      <c r="G21" s="2" t="s">
        <v>59</v>
      </c>
      <c r="H21" s="2" t="s">
        <v>76</v>
      </c>
      <c r="I21" s="2" t="s">
        <v>120</v>
      </c>
      <c r="J21" s="2" t="s">
        <v>56</v>
      </c>
      <c r="K21" s="2" t="n">
        <v>0</v>
      </c>
      <c r="L21" s="11" t="n">
        <v>8</v>
      </c>
      <c r="M21" s="2" t="n">
        <f aca="false">K21+L21</f>
        <v>8</v>
      </c>
      <c r="N21" s="2" t="s">
        <v>240</v>
      </c>
      <c r="O21" s="2" t="s">
        <v>241</v>
      </c>
      <c r="P21" s="2"/>
      <c r="Q21" s="2" t="s">
        <v>242</v>
      </c>
    </row>
    <row r="22" customFormat="false" ht="35.05" hidden="false" customHeight="false" outlineLevel="0" collapsed="false">
      <c r="A22" s="2" t="s">
        <v>243</v>
      </c>
      <c r="B22" s="2" t="s">
        <v>32</v>
      </c>
      <c r="C22" s="2" t="s">
        <v>194</v>
      </c>
      <c r="D22" s="2" t="s">
        <v>244</v>
      </c>
      <c r="E22" s="2" t="s">
        <v>245</v>
      </c>
      <c r="F22" s="2" t="s">
        <v>93</v>
      </c>
      <c r="G22" s="2" t="s">
        <v>60</v>
      </c>
      <c r="H22" s="2" t="s">
        <v>76</v>
      </c>
      <c r="I22" s="2" t="s">
        <v>120</v>
      </c>
      <c r="J22" s="2" t="s">
        <v>56</v>
      </c>
      <c r="K22" s="2" t="n">
        <v>0</v>
      </c>
      <c r="L22" s="11" t="n">
        <v>8</v>
      </c>
      <c r="M22" s="2" t="n">
        <f aca="false">K22+L22</f>
        <v>8</v>
      </c>
      <c r="N22" s="2" t="s">
        <v>246</v>
      </c>
      <c r="O22" s="2" t="s">
        <v>247</v>
      </c>
      <c r="P22" s="2"/>
      <c r="Q22" s="2" t="s">
        <v>248</v>
      </c>
    </row>
    <row r="23" customFormat="false" ht="35.05" hidden="false" customHeight="false" outlineLevel="0" collapsed="false">
      <c r="A23" s="2" t="s">
        <v>249</v>
      </c>
      <c r="B23" s="2" t="s">
        <v>32</v>
      </c>
      <c r="C23" s="2" t="s">
        <v>194</v>
      </c>
      <c r="D23" s="2" t="s">
        <v>250</v>
      </c>
      <c r="E23" s="2" t="s">
        <v>251</v>
      </c>
      <c r="F23" s="2" t="s">
        <v>93</v>
      </c>
      <c r="G23" s="2" t="s">
        <v>63</v>
      </c>
      <c r="H23" s="2" t="s">
        <v>71</v>
      </c>
      <c r="I23" s="2" t="s">
        <v>120</v>
      </c>
      <c r="J23" s="2" t="s">
        <v>56</v>
      </c>
      <c r="K23" s="2" t="n">
        <v>0</v>
      </c>
      <c r="L23" s="11" t="n">
        <v>6</v>
      </c>
      <c r="M23" s="2" t="n">
        <f aca="false">K23+L23</f>
        <v>6</v>
      </c>
      <c r="N23" s="2" t="s">
        <v>246</v>
      </c>
      <c r="O23" s="2" t="s">
        <v>252</v>
      </c>
      <c r="P23" s="2"/>
      <c r="Q23" s="2" t="s">
        <v>253</v>
      </c>
    </row>
    <row r="24" customFormat="false" ht="35.05" hidden="false" customHeight="false" outlineLevel="0" collapsed="false">
      <c r="A24" s="2" t="s">
        <v>254</v>
      </c>
      <c r="B24" s="2" t="s">
        <v>32</v>
      </c>
      <c r="C24" s="2" t="s">
        <v>194</v>
      </c>
      <c r="D24" s="2" t="s">
        <v>255</v>
      </c>
      <c r="E24" s="2" t="s">
        <v>256</v>
      </c>
      <c r="F24" s="2" t="s">
        <v>90</v>
      </c>
      <c r="G24" s="2" t="s">
        <v>61</v>
      </c>
      <c r="H24" s="2" t="s">
        <v>71</v>
      </c>
      <c r="I24" s="2" t="s">
        <v>120</v>
      </c>
      <c r="J24" s="2" t="s">
        <v>56</v>
      </c>
      <c r="K24" s="2" t="n">
        <v>0</v>
      </c>
      <c r="L24" s="11" t="n">
        <v>5</v>
      </c>
      <c r="M24" s="2" t="n">
        <f aca="false">K24+L24</f>
        <v>5</v>
      </c>
      <c r="N24" s="2" t="s">
        <v>215</v>
      </c>
      <c r="O24" s="2" t="s">
        <v>257</v>
      </c>
      <c r="P24" s="2"/>
      <c r="Q24" s="2" t="s">
        <v>258</v>
      </c>
    </row>
    <row r="25" customFormat="false" ht="35.05" hidden="false" customHeight="false" outlineLevel="0" collapsed="false">
      <c r="A25" s="2" t="s">
        <v>259</v>
      </c>
      <c r="B25" s="2" t="s">
        <v>32</v>
      </c>
      <c r="C25" s="2" t="s">
        <v>150</v>
      </c>
      <c r="D25" s="2" t="s">
        <v>260</v>
      </c>
      <c r="E25" s="2" t="s">
        <v>261</v>
      </c>
      <c r="F25" s="2" t="s">
        <v>78</v>
      </c>
      <c r="G25" s="2" t="s">
        <v>62</v>
      </c>
      <c r="H25" s="2" t="s">
        <v>67</v>
      </c>
      <c r="I25" s="2" t="s">
        <v>120</v>
      </c>
      <c r="J25" s="2" t="s">
        <v>55</v>
      </c>
      <c r="K25" s="2" t="n">
        <v>0</v>
      </c>
      <c r="L25" s="11" t="n">
        <v>6</v>
      </c>
      <c r="M25" s="2" t="n">
        <f aca="false">K25+L25</f>
        <v>6</v>
      </c>
      <c r="N25" s="2" t="s">
        <v>262</v>
      </c>
      <c r="O25" s="2" t="s">
        <v>263</v>
      </c>
      <c r="P25" s="2"/>
      <c r="Q25" s="2" t="s">
        <v>264</v>
      </c>
    </row>
    <row r="26" customFormat="false" ht="46.25" hidden="false" customHeight="false" outlineLevel="0" collapsed="false">
      <c r="A26" s="2" t="s">
        <v>265</v>
      </c>
      <c r="B26" s="2" t="s">
        <v>32</v>
      </c>
      <c r="C26" s="2" t="s">
        <v>194</v>
      </c>
      <c r="D26" s="2" t="s">
        <v>266</v>
      </c>
      <c r="E26" s="2" t="s">
        <v>267</v>
      </c>
      <c r="F26" s="2" t="s">
        <v>95</v>
      </c>
      <c r="G26" s="2" t="s">
        <v>62</v>
      </c>
      <c r="H26" s="2" t="s">
        <v>76</v>
      </c>
      <c r="I26" s="2" t="s">
        <v>120</v>
      </c>
      <c r="J26" s="2" t="s">
        <v>56</v>
      </c>
      <c r="K26" s="2" t="n">
        <v>0</v>
      </c>
      <c r="L26" s="11" t="n">
        <v>4</v>
      </c>
      <c r="M26" s="2" t="n">
        <f aca="false">K26+L26</f>
        <v>4</v>
      </c>
      <c r="N26" s="2" t="s">
        <v>268</v>
      </c>
      <c r="O26" s="2" t="s">
        <v>269</v>
      </c>
      <c r="P26" s="2"/>
      <c r="Q26" s="2" t="s">
        <v>270</v>
      </c>
    </row>
    <row r="27" customFormat="false" ht="46.25" hidden="false" customHeight="false" outlineLevel="0" collapsed="false">
      <c r="A27" s="2" t="s">
        <v>271</v>
      </c>
      <c r="B27" s="2" t="s">
        <v>32</v>
      </c>
      <c r="C27" s="2" t="s">
        <v>194</v>
      </c>
      <c r="D27" s="2" t="s">
        <v>272</v>
      </c>
      <c r="E27" s="2" t="s">
        <v>273</v>
      </c>
      <c r="F27" s="2" t="s">
        <v>98</v>
      </c>
      <c r="G27" s="2" t="s">
        <v>62</v>
      </c>
      <c r="H27" s="2" t="s">
        <v>74</v>
      </c>
      <c r="I27" s="2" t="s">
        <v>120</v>
      </c>
      <c r="J27" s="2" t="s">
        <v>56</v>
      </c>
      <c r="K27" s="2" t="n">
        <v>0</v>
      </c>
      <c r="L27" s="11" t="n">
        <v>8</v>
      </c>
      <c r="M27" s="2" t="n">
        <f aca="false">K27+L27</f>
        <v>8</v>
      </c>
      <c r="N27" s="2" t="s">
        <v>268</v>
      </c>
      <c r="O27" s="2" t="s">
        <v>274</v>
      </c>
      <c r="P27" s="2"/>
      <c r="Q27" s="2" t="s">
        <v>275</v>
      </c>
    </row>
    <row r="28" customFormat="false" ht="46.25" hidden="false" customHeight="false" outlineLevel="0" collapsed="false">
      <c r="A28" s="2" t="s">
        <v>276</v>
      </c>
      <c r="B28" s="2" t="s">
        <v>32</v>
      </c>
      <c r="C28" s="2" t="s">
        <v>194</v>
      </c>
      <c r="D28" s="2" t="s">
        <v>277</v>
      </c>
      <c r="E28" s="2" t="s">
        <v>278</v>
      </c>
      <c r="F28" s="2" t="s">
        <v>95</v>
      </c>
      <c r="G28" s="2" t="s">
        <v>62</v>
      </c>
      <c r="H28" s="2" t="s">
        <v>74</v>
      </c>
      <c r="I28" s="2" t="s">
        <v>120</v>
      </c>
      <c r="J28" s="2" t="s">
        <v>56</v>
      </c>
      <c r="K28" s="2" t="n">
        <v>0</v>
      </c>
      <c r="L28" s="11" t="n">
        <v>6</v>
      </c>
      <c r="M28" s="2" t="n">
        <f aca="false">K28+L28</f>
        <v>6</v>
      </c>
      <c r="N28" s="2" t="s">
        <v>279</v>
      </c>
      <c r="O28" s="2" t="s">
        <v>280</v>
      </c>
      <c r="P28" s="2"/>
      <c r="Q28" s="2" t="s">
        <v>281</v>
      </c>
    </row>
    <row r="29" customFormat="false" ht="35.05" hidden="false" customHeight="false" outlineLevel="0" collapsed="false">
      <c r="A29" s="2" t="s">
        <v>282</v>
      </c>
      <c r="B29" s="2" t="s">
        <v>32</v>
      </c>
      <c r="C29" s="2" t="s">
        <v>225</v>
      </c>
      <c r="D29" s="2" t="s">
        <v>283</v>
      </c>
      <c r="E29" s="2" t="s">
        <v>284</v>
      </c>
      <c r="F29" s="2" t="s">
        <v>78</v>
      </c>
      <c r="G29" s="2" t="s">
        <v>60</v>
      </c>
      <c r="H29" s="2" t="s">
        <v>70</v>
      </c>
      <c r="I29" s="2" t="s">
        <v>120</v>
      </c>
      <c r="J29" s="2" t="s">
        <v>55</v>
      </c>
      <c r="K29" s="2" t="n">
        <v>0</v>
      </c>
      <c r="L29" s="11" t="n">
        <v>6</v>
      </c>
      <c r="M29" s="2" t="n">
        <f aca="false">K29+L29</f>
        <v>6</v>
      </c>
      <c r="N29" s="2" t="s">
        <v>285</v>
      </c>
      <c r="O29" s="2" t="s">
        <v>286</v>
      </c>
      <c r="P29" s="2"/>
      <c r="Q29" s="2" t="s">
        <v>287</v>
      </c>
    </row>
    <row r="30" customFormat="false" ht="35.05" hidden="false" customHeight="false" outlineLevel="0" collapsed="false">
      <c r="A30" s="2" t="s">
        <v>288</v>
      </c>
      <c r="B30" s="2" t="s">
        <v>32</v>
      </c>
      <c r="C30" s="2" t="s">
        <v>225</v>
      </c>
      <c r="D30" s="2" t="s">
        <v>289</v>
      </c>
      <c r="E30" s="2" t="s">
        <v>290</v>
      </c>
      <c r="F30" s="2" t="s">
        <v>78</v>
      </c>
      <c r="G30" s="2" t="s">
        <v>59</v>
      </c>
      <c r="H30" s="2" t="s">
        <v>71</v>
      </c>
      <c r="I30" s="2" t="s">
        <v>120</v>
      </c>
      <c r="J30" s="2" t="s">
        <v>55</v>
      </c>
      <c r="K30" s="2" t="n">
        <v>0</v>
      </c>
      <c r="L30" s="11" t="n">
        <v>4</v>
      </c>
      <c r="M30" s="2" t="n">
        <f aca="false">K30+L30</f>
        <v>4</v>
      </c>
      <c r="N30" s="2" t="s">
        <v>291</v>
      </c>
      <c r="O30" s="2" t="s">
        <v>292</v>
      </c>
      <c r="P30" s="2"/>
      <c r="Q30" s="2" t="s">
        <v>293</v>
      </c>
    </row>
    <row r="31" customFormat="false" ht="35.05" hidden="false" customHeight="false" outlineLevel="0" collapsed="false">
      <c r="A31" s="2" t="s">
        <v>294</v>
      </c>
      <c r="B31" s="2" t="s">
        <v>32</v>
      </c>
      <c r="C31" s="2" t="s">
        <v>125</v>
      </c>
      <c r="D31" s="2" t="s">
        <v>295</v>
      </c>
      <c r="E31" s="2" t="s">
        <v>296</v>
      </c>
      <c r="F31" s="2" t="s">
        <v>78</v>
      </c>
      <c r="G31" s="2" t="s">
        <v>59</v>
      </c>
      <c r="H31" s="2" t="s">
        <v>71</v>
      </c>
      <c r="I31" s="2" t="s">
        <v>120</v>
      </c>
      <c r="J31" s="2" t="s">
        <v>55</v>
      </c>
      <c r="K31" s="2" t="n">
        <v>0</v>
      </c>
      <c r="L31" s="11" t="n">
        <v>6</v>
      </c>
      <c r="M31" s="2" t="n">
        <f aca="false">K31+L31</f>
        <v>6</v>
      </c>
      <c r="N31" s="2" t="s">
        <v>134</v>
      </c>
      <c r="O31" s="2" t="s">
        <v>129</v>
      </c>
      <c r="P31" s="2"/>
      <c r="Q31" s="2" t="s">
        <v>297</v>
      </c>
    </row>
    <row r="32" customFormat="false" ht="46.25" hidden="false" customHeight="false" outlineLevel="0" collapsed="false">
      <c r="A32" s="2" t="s">
        <v>298</v>
      </c>
      <c r="B32" s="2" t="s">
        <v>32</v>
      </c>
      <c r="C32" s="2" t="s">
        <v>225</v>
      </c>
      <c r="D32" s="2" t="s">
        <v>299</v>
      </c>
      <c r="E32" s="2" t="s">
        <v>300</v>
      </c>
      <c r="F32" s="2" t="s">
        <v>78</v>
      </c>
      <c r="G32" s="2" t="s">
        <v>60</v>
      </c>
      <c r="H32" s="2" t="s">
        <v>71</v>
      </c>
      <c r="I32" s="2" t="s">
        <v>120</v>
      </c>
      <c r="J32" s="2" t="s">
        <v>55</v>
      </c>
      <c r="K32" s="2" t="n">
        <v>0</v>
      </c>
      <c r="L32" s="11" t="n">
        <v>4</v>
      </c>
      <c r="M32" s="2" t="n">
        <f aca="false">K32+L32</f>
        <v>4</v>
      </c>
      <c r="N32" s="2" t="s">
        <v>291</v>
      </c>
      <c r="O32" s="2" t="s">
        <v>301</v>
      </c>
      <c r="P32" s="2"/>
      <c r="Q32" s="2" t="s">
        <v>302</v>
      </c>
    </row>
    <row r="33" customFormat="false" ht="23.85" hidden="false" customHeight="false" outlineLevel="0" collapsed="false">
      <c r="A33" s="2" t="s">
        <v>303</v>
      </c>
      <c r="B33" s="2" t="s">
        <v>33</v>
      </c>
      <c r="C33" s="2" t="s">
        <v>304</v>
      </c>
      <c r="D33" s="2" t="s">
        <v>305</v>
      </c>
      <c r="E33" s="2" t="s">
        <v>306</v>
      </c>
      <c r="F33" s="2" t="s">
        <v>79</v>
      </c>
      <c r="G33" s="2" t="s">
        <v>62</v>
      </c>
      <c r="H33" s="2" t="s">
        <v>75</v>
      </c>
      <c r="I33" s="2" t="s">
        <v>120</v>
      </c>
      <c r="J33" s="2" t="s">
        <v>55</v>
      </c>
      <c r="K33" s="2" t="n">
        <v>0</v>
      </c>
      <c r="L33" s="11" t="n">
        <v>4</v>
      </c>
      <c r="M33" s="2" t="n">
        <f aca="false">K33+L33</f>
        <v>4</v>
      </c>
      <c r="N33" s="2" t="s">
        <v>307</v>
      </c>
      <c r="O33" s="2" t="s">
        <v>308</v>
      </c>
      <c r="P33" s="2"/>
      <c r="Q33" s="2" t="s">
        <v>309</v>
      </c>
    </row>
    <row r="34" customFormat="false" ht="46.25" hidden="false" customHeight="false" outlineLevel="0" collapsed="false">
      <c r="A34" s="2" t="s">
        <v>310</v>
      </c>
      <c r="B34" s="2" t="s">
        <v>33</v>
      </c>
      <c r="C34" s="2" t="s">
        <v>311</v>
      </c>
      <c r="D34" s="2" t="s">
        <v>312</v>
      </c>
      <c r="E34" s="2" t="s">
        <v>313</v>
      </c>
      <c r="F34" s="2" t="s">
        <v>78</v>
      </c>
      <c r="G34" s="2" t="s">
        <v>62</v>
      </c>
      <c r="H34" s="2" t="s">
        <v>75</v>
      </c>
      <c r="I34" s="2" t="s">
        <v>120</v>
      </c>
      <c r="J34" s="2" t="s">
        <v>56</v>
      </c>
      <c r="K34" s="2" t="n">
        <v>0</v>
      </c>
      <c r="L34" s="11" t="n">
        <v>8</v>
      </c>
      <c r="M34" s="2" t="n">
        <f aca="false">K34+L34</f>
        <v>8</v>
      </c>
      <c r="N34" s="2" t="s">
        <v>314</v>
      </c>
      <c r="O34" s="2" t="s">
        <v>315</v>
      </c>
      <c r="P34" s="2"/>
      <c r="Q34" s="2" t="s">
        <v>316</v>
      </c>
    </row>
    <row r="35" customFormat="false" ht="68.65" hidden="false" customHeight="false" outlineLevel="0" collapsed="false">
      <c r="A35" s="2" t="s">
        <v>317</v>
      </c>
      <c r="B35" s="2" t="s">
        <v>33</v>
      </c>
      <c r="C35" s="2" t="s">
        <v>304</v>
      </c>
      <c r="D35" s="2" t="s">
        <v>318</v>
      </c>
      <c r="E35" s="2" t="s">
        <v>319</v>
      </c>
      <c r="F35" s="2" t="s">
        <v>79</v>
      </c>
      <c r="G35" s="2" t="s">
        <v>59</v>
      </c>
      <c r="H35" s="2" t="s">
        <v>71</v>
      </c>
      <c r="I35" s="2" t="s">
        <v>120</v>
      </c>
      <c r="J35" s="2" t="s">
        <v>55</v>
      </c>
      <c r="K35" s="2" t="n">
        <v>0</v>
      </c>
      <c r="L35" s="11" t="n">
        <v>12</v>
      </c>
      <c r="M35" s="2" t="n">
        <f aca="false">K35+L35</f>
        <v>12</v>
      </c>
      <c r="N35" s="2" t="s">
        <v>320</v>
      </c>
      <c r="O35" s="2" t="s">
        <v>321</v>
      </c>
      <c r="P35" s="2"/>
      <c r="Q35" s="2" t="s">
        <v>322</v>
      </c>
    </row>
    <row r="36" customFormat="false" ht="35.05" hidden="false" customHeight="false" outlineLevel="0" collapsed="false">
      <c r="A36" s="2" t="s">
        <v>323</v>
      </c>
      <c r="B36" s="2" t="s">
        <v>33</v>
      </c>
      <c r="C36" s="2" t="s">
        <v>304</v>
      </c>
      <c r="D36" s="2" t="s">
        <v>324</v>
      </c>
      <c r="E36" s="2" t="s">
        <v>325</v>
      </c>
      <c r="F36" s="2" t="s">
        <v>78</v>
      </c>
      <c r="G36" s="2" t="s">
        <v>62</v>
      </c>
      <c r="H36" s="2" t="s">
        <v>67</v>
      </c>
      <c r="I36" s="2" t="s">
        <v>120</v>
      </c>
      <c r="J36" s="2" t="s">
        <v>55</v>
      </c>
      <c r="K36" s="2" t="n">
        <v>0</v>
      </c>
      <c r="L36" s="11" t="n">
        <v>5</v>
      </c>
      <c r="M36" s="2" t="n">
        <f aca="false">K36+L36</f>
        <v>5</v>
      </c>
      <c r="N36" s="2" t="s">
        <v>326</v>
      </c>
      <c r="O36" s="2" t="s">
        <v>327</v>
      </c>
      <c r="P36" s="2"/>
      <c r="Q36" s="2" t="s">
        <v>328</v>
      </c>
    </row>
    <row r="37" customFormat="false" ht="23.85" hidden="false" customHeight="false" outlineLevel="0" collapsed="false">
      <c r="A37" s="2" t="s">
        <v>329</v>
      </c>
      <c r="B37" s="2" t="s">
        <v>33</v>
      </c>
      <c r="C37" s="2" t="s">
        <v>304</v>
      </c>
      <c r="D37" s="2" t="s">
        <v>330</v>
      </c>
      <c r="E37" s="2" t="s">
        <v>331</v>
      </c>
      <c r="F37" s="2" t="s">
        <v>80</v>
      </c>
      <c r="G37" s="2" t="s">
        <v>62</v>
      </c>
      <c r="H37" s="2" t="s">
        <v>76</v>
      </c>
      <c r="I37" s="2" t="s">
        <v>120</v>
      </c>
      <c r="J37" s="2" t="s">
        <v>56</v>
      </c>
      <c r="K37" s="2" t="n">
        <v>0</v>
      </c>
      <c r="L37" s="11" t="n">
        <v>9</v>
      </c>
      <c r="M37" s="2" t="n">
        <f aca="false">K37+L37</f>
        <v>9</v>
      </c>
      <c r="N37" s="2" t="s">
        <v>332</v>
      </c>
      <c r="O37" s="2" t="s">
        <v>333</v>
      </c>
      <c r="P37" s="2"/>
      <c r="Q37" s="2" t="s">
        <v>334</v>
      </c>
    </row>
    <row r="38" customFormat="false" ht="23.85" hidden="false" customHeight="false" outlineLevel="0" collapsed="false">
      <c r="A38" s="2" t="s">
        <v>335</v>
      </c>
      <c r="B38" s="2" t="s">
        <v>33</v>
      </c>
      <c r="C38" s="2" t="s">
        <v>304</v>
      </c>
      <c r="D38" s="2" t="s">
        <v>336</v>
      </c>
      <c r="E38" s="2" t="s">
        <v>337</v>
      </c>
      <c r="F38" s="2" t="s">
        <v>81</v>
      </c>
      <c r="G38" s="2" t="s">
        <v>62</v>
      </c>
      <c r="H38" s="2" t="s">
        <v>71</v>
      </c>
      <c r="I38" s="2" t="s">
        <v>120</v>
      </c>
      <c r="J38" s="2" t="s">
        <v>55</v>
      </c>
      <c r="K38" s="2" t="n">
        <v>0</v>
      </c>
      <c r="L38" s="11" t="n">
        <v>12</v>
      </c>
      <c r="M38" s="2" t="n">
        <f aca="false">K38+L38</f>
        <v>12</v>
      </c>
      <c r="N38" s="2" t="s">
        <v>338</v>
      </c>
      <c r="O38" s="2" t="s">
        <v>339</v>
      </c>
      <c r="P38" s="2"/>
      <c r="Q38" s="2" t="s">
        <v>340</v>
      </c>
    </row>
    <row r="39" customFormat="false" ht="23.85" hidden="false" customHeight="false" outlineLevel="0" collapsed="false">
      <c r="A39" s="2" t="s">
        <v>341</v>
      </c>
      <c r="B39" s="2" t="s">
        <v>33</v>
      </c>
      <c r="C39" s="2" t="s">
        <v>304</v>
      </c>
      <c r="D39" s="2" t="s">
        <v>342</v>
      </c>
      <c r="E39" s="2" t="s">
        <v>343</v>
      </c>
      <c r="F39" s="2" t="s">
        <v>81</v>
      </c>
      <c r="G39" s="2" t="s">
        <v>59</v>
      </c>
      <c r="H39" s="2" t="s">
        <v>71</v>
      </c>
      <c r="I39" s="2" t="s">
        <v>120</v>
      </c>
      <c r="J39" s="2" t="s">
        <v>55</v>
      </c>
      <c r="K39" s="2" t="n">
        <v>0</v>
      </c>
      <c r="L39" s="11" t="n">
        <v>6</v>
      </c>
      <c r="M39" s="2" t="n">
        <f aca="false">K39+L39</f>
        <v>6</v>
      </c>
      <c r="N39" s="2" t="s">
        <v>344</v>
      </c>
      <c r="O39" s="2" t="s">
        <v>345</v>
      </c>
      <c r="P39" s="2"/>
      <c r="Q39" s="2" t="s">
        <v>346</v>
      </c>
    </row>
    <row r="40" customFormat="false" ht="23.85" hidden="false" customHeight="false" outlineLevel="0" collapsed="false">
      <c r="A40" s="2" t="s">
        <v>347</v>
      </c>
      <c r="B40" s="2" t="s">
        <v>33</v>
      </c>
      <c r="C40" s="2" t="s">
        <v>304</v>
      </c>
      <c r="D40" s="2" t="s">
        <v>348</v>
      </c>
      <c r="E40" s="2" t="s">
        <v>349</v>
      </c>
      <c r="F40" s="2" t="s">
        <v>81</v>
      </c>
      <c r="G40" s="2" t="s">
        <v>62</v>
      </c>
      <c r="H40" s="2" t="s">
        <v>74</v>
      </c>
      <c r="I40" s="2" t="s">
        <v>120</v>
      </c>
      <c r="J40" s="2" t="s">
        <v>55</v>
      </c>
      <c r="K40" s="2" t="n">
        <v>0</v>
      </c>
      <c r="L40" s="11" t="n">
        <v>8</v>
      </c>
      <c r="M40" s="2" t="n">
        <f aca="false">K40+L40</f>
        <v>8</v>
      </c>
      <c r="N40" s="2" t="s">
        <v>350</v>
      </c>
      <c r="O40" s="2" t="s">
        <v>351</v>
      </c>
      <c r="P40" s="2"/>
      <c r="Q40" s="2" t="s">
        <v>352</v>
      </c>
    </row>
    <row r="41" customFormat="false" ht="35.05" hidden="false" customHeight="false" outlineLevel="0" collapsed="false">
      <c r="A41" s="2" t="s">
        <v>353</v>
      </c>
      <c r="B41" s="2" t="s">
        <v>33</v>
      </c>
      <c r="C41" s="2" t="s">
        <v>354</v>
      </c>
      <c r="D41" s="2" t="s">
        <v>355</v>
      </c>
      <c r="E41" s="2" t="s">
        <v>356</v>
      </c>
      <c r="F41" s="2" t="s">
        <v>81</v>
      </c>
      <c r="G41" s="2" t="s">
        <v>59</v>
      </c>
      <c r="H41" s="2" t="s">
        <v>71</v>
      </c>
      <c r="I41" s="2" t="s">
        <v>357</v>
      </c>
      <c r="J41" s="2" t="s">
        <v>56</v>
      </c>
      <c r="K41" s="2" t="n">
        <v>1</v>
      </c>
      <c r="L41" s="11" t="n">
        <v>6</v>
      </c>
      <c r="M41" s="2" t="n">
        <f aca="false">K41+L41</f>
        <v>7</v>
      </c>
      <c r="N41" s="2" t="s">
        <v>358</v>
      </c>
      <c r="O41" s="2" t="s">
        <v>359</v>
      </c>
      <c r="P41" s="2" t="s">
        <v>360</v>
      </c>
      <c r="Q41" s="2" t="s">
        <v>361</v>
      </c>
    </row>
    <row r="42" customFormat="false" ht="23.85" hidden="false" customHeight="false" outlineLevel="0" collapsed="false">
      <c r="A42" s="2" t="s">
        <v>362</v>
      </c>
      <c r="B42" s="2" t="s">
        <v>33</v>
      </c>
      <c r="C42" s="2" t="s">
        <v>354</v>
      </c>
      <c r="D42" s="2" t="s">
        <v>363</v>
      </c>
      <c r="E42" s="2" t="s">
        <v>364</v>
      </c>
      <c r="F42" s="2" t="s">
        <v>81</v>
      </c>
      <c r="G42" s="2" t="s">
        <v>64</v>
      </c>
      <c r="H42" s="2" t="s">
        <v>72</v>
      </c>
      <c r="I42" s="2" t="s">
        <v>357</v>
      </c>
      <c r="J42" s="2" t="s">
        <v>56</v>
      </c>
      <c r="K42" s="2" t="n">
        <v>2</v>
      </c>
      <c r="L42" s="11" t="n">
        <v>5</v>
      </c>
      <c r="M42" s="2" t="n">
        <f aca="false">K42+L42</f>
        <v>7</v>
      </c>
      <c r="N42" s="2" t="s">
        <v>365</v>
      </c>
      <c r="O42" s="2" t="s">
        <v>366</v>
      </c>
      <c r="P42" s="2" t="s">
        <v>367</v>
      </c>
      <c r="Q42" s="2" t="s">
        <v>368</v>
      </c>
    </row>
    <row r="43" customFormat="false" ht="35.05" hidden="false" customHeight="false" outlineLevel="0" collapsed="false">
      <c r="A43" s="2" t="s">
        <v>369</v>
      </c>
      <c r="B43" s="2" t="s">
        <v>33</v>
      </c>
      <c r="C43" s="2" t="s">
        <v>370</v>
      </c>
      <c r="D43" s="2" t="s">
        <v>371</v>
      </c>
      <c r="E43" s="2" t="s">
        <v>372</v>
      </c>
      <c r="F43" s="2" t="s">
        <v>81</v>
      </c>
      <c r="G43" s="2" t="s">
        <v>60</v>
      </c>
      <c r="H43" s="2" t="s">
        <v>71</v>
      </c>
      <c r="I43" s="2" t="s">
        <v>120</v>
      </c>
      <c r="J43" s="2" t="s">
        <v>56</v>
      </c>
      <c r="K43" s="2" t="n">
        <v>0</v>
      </c>
      <c r="L43" s="11" t="n">
        <v>8</v>
      </c>
      <c r="M43" s="2" t="n">
        <f aca="false">K43+L43</f>
        <v>8</v>
      </c>
      <c r="N43" s="2" t="s">
        <v>373</v>
      </c>
      <c r="O43" s="2" t="s">
        <v>374</v>
      </c>
      <c r="P43" s="2"/>
      <c r="Q43" s="2" t="s">
        <v>375</v>
      </c>
    </row>
    <row r="44" customFormat="false" ht="23.85" hidden="false" customHeight="false" outlineLevel="0" collapsed="false">
      <c r="A44" s="2" t="s">
        <v>376</v>
      </c>
      <c r="B44" s="2" t="s">
        <v>33</v>
      </c>
      <c r="C44" s="2" t="s">
        <v>370</v>
      </c>
      <c r="D44" s="2" t="s">
        <v>377</v>
      </c>
      <c r="E44" s="2" t="s">
        <v>378</v>
      </c>
      <c r="F44" s="2" t="s">
        <v>81</v>
      </c>
      <c r="G44" s="2" t="s">
        <v>60</v>
      </c>
      <c r="H44" s="2" t="s">
        <v>72</v>
      </c>
      <c r="I44" s="2" t="s">
        <v>120</v>
      </c>
      <c r="J44" s="2" t="s">
        <v>56</v>
      </c>
      <c r="K44" s="2" t="n">
        <v>0</v>
      </c>
      <c r="L44" s="11" t="n">
        <v>6</v>
      </c>
      <c r="M44" s="2" t="n">
        <f aca="false">K44+L44</f>
        <v>6</v>
      </c>
      <c r="N44" s="2" t="s">
        <v>379</v>
      </c>
      <c r="O44" s="2" t="s">
        <v>380</v>
      </c>
      <c r="P44" s="2"/>
      <c r="Q44" s="2" t="s">
        <v>381</v>
      </c>
    </row>
    <row r="45" customFormat="false" ht="35.05" hidden="false" customHeight="false" outlineLevel="0" collapsed="false">
      <c r="A45" s="2" t="s">
        <v>382</v>
      </c>
      <c r="B45" s="2" t="s">
        <v>33</v>
      </c>
      <c r="C45" s="2" t="s">
        <v>370</v>
      </c>
      <c r="D45" s="2" t="s">
        <v>383</v>
      </c>
      <c r="E45" s="2" t="s">
        <v>384</v>
      </c>
      <c r="F45" s="2" t="s">
        <v>89</v>
      </c>
      <c r="G45" s="2" t="s">
        <v>62</v>
      </c>
      <c r="H45" s="2" t="s">
        <v>74</v>
      </c>
      <c r="I45" s="2" t="s">
        <v>120</v>
      </c>
      <c r="J45" s="2" t="s">
        <v>55</v>
      </c>
      <c r="K45" s="2" t="n">
        <v>0</v>
      </c>
      <c r="L45" s="11" t="n">
        <v>2</v>
      </c>
      <c r="M45" s="2" t="n">
        <f aca="false">K45+L45</f>
        <v>2</v>
      </c>
      <c r="N45" s="2" t="s">
        <v>385</v>
      </c>
      <c r="O45" s="2" t="s">
        <v>386</v>
      </c>
      <c r="P45" s="2"/>
      <c r="Q45" s="2" t="s">
        <v>387</v>
      </c>
    </row>
    <row r="46" customFormat="false" ht="35.05" hidden="false" customHeight="false" outlineLevel="0" collapsed="false">
      <c r="A46" s="2" t="s">
        <v>388</v>
      </c>
      <c r="B46" s="2" t="s">
        <v>33</v>
      </c>
      <c r="C46" s="2" t="s">
        <v>354</v>
      </c>
      <c r="D46" s="2" t="s">
        <v>389</v>
      </c>
      <c r="E46" s="2" t="s">
        <v>390</v>
      </c>
      <c r="F46" s="2" t="s">
        <v>89</v>
      </c>
      <c r="G46" s="2" t="s">
        <v>59</v>
      </c>
      <c r="H46" s="2" t="s">
        <v>72</v>
      </c>
      <c r="I46" s="2" t="s">
        <v>391</v>
      </c>
      <c r="J46" s="2" t="s">
        <v>55</v>
      </c>
      <c r="K46" s="2" t="n">
        <v>0</v>
      </c>
      <c r="L46" s="11" t="n">
        <v>7</v>
      </c>
      <c r="M46" s="2" t="n">
        <f aca="false">K46+L46</f>
        <v>7</v>
      </c>
      <c r="N46" s="2" t="s">
        <v>392</v>
      </c>
      <c r="O46" s="2" t="s">
        <v>393</v>
      </c>
      <c r="P46" s="2"/>
      <c r="Q46" s="2" t="s">
        <v>394</v>
      </c>
    </row>
    <row r="47" customFormat="false" ht="15" hidden="false" customHeight="false" outlineLevel="0" collapsed="false">
      <c r="A47" s="2" t="s">
        <v>395</v>
      </c>
      <c r="B47" s="2" t="s">
        <v>33</v>
      </c>
      <c r="C47" s="2" t="s">
        <v>370</v>
      </c>
      <c r="D47" s="2" t="s">
        <v>396</v>
      </c>
      <c r="E47" s="2" t="s">
        <v>397</v>
      </c>
      <c r="F47" s="2" t="s">
        <v>81</v>
      </c>
      <c r="G47" s="2" t="s">
        <v>61</v>
      </c>
      <c r="H47" s="2" t="s">
        <v>76</v>
      </c>
      <c r="I47" s="2" t="s">
        <v>120</v>
      </c>
      <c r="J47" s="2" t="s">
        <v>56</v>
      </c>
      <c r="K47" s="2" t="n">
        <v>0</v>
      </c>
      <c r="L47" s="11" t="n">
        <v>4</v>
      </c>
      <c r="M47" s="2" t="n">
        <f aca="false">K47+L47</f>
        <v>4</v>
      </c>
      <c r="N47" s="2" t="s">
        <v>398</v>
      </c>
      <c r="O47" s="2" t="s">
        <v>399</v>
      </c>
      <c r="P47" s="2"/>
      <c r="Q47" s="2" t="s">
        <v>400</v>
      </c>
    </row>
    <row r="48" customFormat="false" ht="23.85" hidden="false" customHeight="false" outlineLevel="0" collapsed="false">
      <c r="A48" s="2" t="s">
        <v>401</v>
      </c>
      <c r="B48" s="2" t="s">
        <v>33</v>
      </c>
      <c r="C48" s="2" t="s">
        <v>370</v>
      </c>
      <c r="D48" s="2" t="s">
        <v>402</v>
      </c>
      <c r="E48" s="2" t="s">
        <v>403</v>
      </c>
      <c r="F48" s="2" t="s">
        <v>89</v>
      </c>
      <c r="G48" s="2" t="s">
        <v>63</v>
      </c>
      <c r="H48" s="2" t="s">
        <v>71</v>
      </c>
      <c r="I48" s="2" t="s">
        <v>120</v>
      </c>
      <c r="J48" s="2" t="s">
        <v>55</v>
      </c>
      <c r="K48" s="2" t="n">
        <v>0</v>
      </c>
      <c r="L48" s="11" t="n">
        <v>8</v>
      </c>
      <c r="M48" s="2" t="n">
        <f aca="false">K48+L48</f>
        <v>8</v>
      </c>
      <c r="N48" s="2" t="s">
        <v>398</v>
      </c>
      <c r="O48" s="2" t="s">
        <v>404</v>
      </c>
      <c r="P48" s="2"/>
      <c r="Q48" s="2" t="s">
        <v>405</v>
      </c>
    </row>
    <row r="49" customFormat="false" ht="57.45" hidden="false" customHeight="false" outlineLevel="0" collapsed="false">
      <c r="A49" s="2" t="s">
        <v>406</v>
      </c>
      <c r="B49" s="2" t="s">
        <v>33</v>
      </c>
      <c r="C49" s="2" t="s">
        <v>354</v>
      </c>
      <c r="D49" s="2" t="s">
        <v>407</v>
      </c>
      <c r="E49" s="2" t="s">
        <v>408</v>
      </c>
      <c r="F49" s="2" t="s">
        <v>89</v>
      </c>
      <c r="G49" s="2" t="s">
        <v>59</v>
      </c>
      <c r="H49" s="2" t="s">
        <v>76</v>
      </c>
      <c r="I49" s="2" t="s">
        <v>357</v>
      </c>
      <c r="J49" s="2" t="s">
        <v>56</v>
      </c>
      <c r="K49" s="2" t="n">
        <v>1</v>
      </c>
      <c r="L49" s="11" t="n">
        <v>3</v>
      </c>
      <c r="M49" s="2" t="n">
        <f aca="false">K49+L49</f>
        <v>4</v>
      </c>
      <c r="N49" s="2" t="s">
        <v>409</v>
      </c>
      <c r="O49" s="2" t="s">
        <v>410</v>
      </c>
      <c r="P49" s="2" t="s">
        <v>411</v>
      </c>
      <c r="Q49" s="2" t="s">
        <v>412</v>
      </c>
    </row>
    <row r="50" customFormat="false" ht="46.25" hidden="false" customHeight="false" outlineLevel="0" collapsed="false">
      <c r="A50" s="2" t="s">
        <v>413</v>
      </c>
      <c r="B50" s="2" t="s">
        <v>33</v>
      </c>
      <c r="C50" s="2" t="s">
        <v>354</v>
      </c>
      <c r="D50" s="2" t="s">
        <v>414</v>
      </c>
      <c r="E50" s="2" t="s">
        <v>415</v>
      </c>
      <c r="F50" s="2" t="s">
        <v>82</v>
      </c>
      <c r="G50" s="2" t="s">
        <v>64</v>
      </c>
      <c r="H50" s="2" t="s">
        <v>67</v>
      </c>
      <c r="I50" s="2" t="s">
        <v>120</v>
      </c>
      <c r="J50" s="2" t="s">
        <v>55</v>
      </c>
      <c r="K50" s="2" t="n">
        <v>0</v>
      </c>
      <c r="L50" s="11" t="n">
        <v>6</v>
      </c>
      <c r="M50" s="2" t="n">
        <f aca="false">K50+L50</f>
        <v>6</v>
      </c>
      <c r="N50" s="2" t="s">
        <v>416</v>
      </c>
      <c r="O50" s="2" t="s">
        <v>417</v>
      </c>
      <c r="P50" s="2"/>
      <c r="Q50" s="2" t="s">
        <v>418</v>
      </c>
    </row>
    <row r="51" customFormat="false" ht="23.85" hidden="false" customHeight="false" outlineLevel="0" collapsed="false">
      <c r="A51" s="2" t="s">
        <v>419</v>
      </c>
      <c r="B51" s="2" t="s">
        <v>33</v>
      </c>
      <c r="C51" s="2" t="s">
        <v>354</v>
      </c>
      <c r="D51" s="2" t="s">
        <v>420</v>
      </c>
      <c r="E51" s="2" t="s">
        <v>421</v>
      </c>
      <c r="F51" s="2" t="s">
        <v>82</v>
      </c>
      <c r="G51" s="2" t="s">
        <v>60</v>
      </c>
      <c r="H51" s="2" t="s">
        <v>67</v>
      </c>
      <c r="I51" s="2" t="s">
        <v>120</v>
      </c>
      <c r="J51" s="2" t="s">
        <v>56</v>
      </c>
      <c r="K51" s="2" t="n">
        <v>0</v>
      </c>
      <c r="L51" s="11" t="n">
        <v>6</v>
      </c>
      <c r="M51" s="2" t="n">
        <f aca="false">K51+L51</f>
        <v>6</v>
      </c>
      <c r="N51" s="2" t="s">
        <v>416</v>
      </c>
      <c r="O51" s="2" t="s">
        <v>422</v>
      </c>
      <c r="P51" s="2"/>
      <c r="Q51" s="2" t="s">
        <v>423</v>
      </c>
    </row>
    <row r="52" customFormat="false" ht="23.85" hidden="false" customHeight="false" outlineLevel="0" collapsed="false">
      <c r="A52" s="2" t="s">
        <v>424</v>
      </c>
      <c r="B52" s="2" t="s">
        <v>33</v>
      </c>
      <c r="C52" s="2" t="s">
        <v>354</v>
      </c>
      <c r="D52" s="2" t="s">
        <v>425</v>
      </c>
      <c r="E52" s="2" t="s">
        <v>426</v>
      </c>
      <c r="F52" s="2" t="s">
        <v>89</v>
      </c>
      <c r="G52" s="2" t="s">
        <v>62</v>
      </c>
      <c r="H52" s="2" t="s">
        <v>71</v>
      </c>
      <c r="I52" s="2" t="s">
        <v>120</v>
      </c>
      <c r="J52" s="2" t="s">
        <v>56</v>
      </c>
      <c r="K52" s="2" t="n">
        <v>0</v>
      </c>
      <c r="L52" s="11" t="n">
        <v>7</v>
      </c>
      <c r="M52" s="2" t="n">
        <f aca="false">K52+L52</f>
        <v>7</v>
      </c>
      <c r="N52" s="2" t="s">
        <v>427</v>
      </c>
      <c r="O52" s="2" t="s">
        <v>428</v>
      </c>
      <c r="P52" s="2"/>
      <c r="Q52" s="2" t="s">
        <v>429</v>
      </c>
    </row>
    <row r="53" customFormat="false" ht="91" hidden="false" customHeight="false" outlineLevel="0" collapsed="false">
      <c r="A53" s="2" t="s">
        <v>430</v>
      </c>
      <c r="B53" s="2" t="s">
        <v>33</v>
      </c>
      <c r="C53" s="2" t="s">
        <v>354</v>
      </c>
      <c r="D53" s="2" t="s">
        <v>431</v>
      </c>
      <c r="E53" s="2" t="s">
        <v>432</v>
      </c>
      <c r="F53" s="2" t="s">
        <v>82</v>
      </c>
      <c r="G53" s="2" t="s">
        <v>64</v>
      </c>
      <c r="H53" s="2" t="s">
        <v>72</v>
      </c>
      <c r="I53" s="2" t="s">
        <v>120</v>
      </c>
      <c r="J53" s="2" t="s">
        <v>56</v>
      </c>
      <c r="K53" s="2" t="n">
        <v>0</v>
      </c>
      <c r="L53" s="11" t="n">
        <v>6</v>
      </c>
      <c r="M53" s="2" t="n">
        <f aca="false">K53+L53</f>
        <v>6</v>
      </c>
      <c r="N53" s="2" t="s">
        <v>433</v>
      </c>
      <c r="O53" s="2" t="s">
        <v>434</v>
      </c>
      <c r="P53" s="2"/>
      <c r="Q53" s="2" t="s">
        <v>435</v>
      </c>
    </row>
    <row r="54" customFormat="false" ht="23.85" hidden="false" customHeight="false" outlineLevel="0" collapsed="false">
      <c r="A54" s="2" t="s">
        <v>436</v>
      </c>
      <c r="B54" s="2" t="s">
        <v>33</v>
      </c>
      <c r="C54" s="2" t="s">
        <v>437</v>
      </c>
      <c r="D54" s="2" t="s">
        <v>438</v>
      </c>
      <c r="E54" s="2" t="s">
        <v>439</v>
      </c>
      <c r="F54" s="2" t="s">
        <v>82</v>
      </c>
      <c r="G54" s="2" t="s">
        <v>61</v>
      </c>
      <c r="H54" s="2" t="s">
        <v>72</v>
      </c>
      <c r="I54" s="2" t="s">
        <v>357</v>
      </c>
      <c r="J54" s="2" t="s">
        <v>56</v>
      </c>
      <c r="K54" s="2" t="n">
        <v>2</v>
      </c>
      <c r="L54" s="11" t="n">
        <v>4</v>
      </c>
      <c r="M54" s="2" t="n">
        <f aca="false">K54+L54</f>
        <v>6</v>
      </c>
      <c r="N54" s="2" t="s">
        <v>440</v>
      </c>
      <c r="O54" s="2" t="s">
        <v>441</v>
      </c>
      <c r="P54" s="2" t="s">
        <v>442</v>
      </c>
      <c r="Q54" s="2" t="s">
        <v>443</v>
      </c>
    </row>
    <row r="55" customFormat="false" ht="15" hidden="false" customHeight="false" outlineLevel="0" collapsed="false">
      <c r="A55" s="2" t="s">
        <v>444</v>
      </c>
      <c r="B55" s="2" t="s">
        <v>33</v>
      </c>
      <c r="C55" s="2" t="s">
        <v>437</v>
      </c>
      <c r="D55" s="2" t="s">
        <v>445</v>
      </c>
      <c r="E55" s="2" t="s">
        <v>446</v>
      </c>
      <c r="F55" s="2" t="s">
        <v>82</v>
      </c>
      <c r="G55" s="2" t="s">
        <v>61</v>
      </c>
      <c r="H55" s="2" t="s">
        <v>67</v>
      </c>
      <c r="I55" s="2" t="s">
        <v>447</v>
      </c>
      <c r="J55" s="2" t="s">
        <v>57</v>
      </c>
      <c r="K55" s="2" t="n">
        <v>3</v>
      </c>
      <c r="L55" s="11" t="n">
        <v>0</v>
      </c>
      <c r="M55" s="2" t="n">
        <f aca="false">K55+L55</f>
        <v>3</v>
      </c>
      <c r="N55" s="2" t="s">
        <v>448</v>
      </c>
      <c r="O55" s="2" t="s">
        <v>449</v>
      </c>
      <c r="P55" s="2" t="s">
        <v>450</v>
      </c>
      <c r="Q55" s="2" t="s">
        <v>451</v>
      </c>
    </row>
    <row r="56" customFormat="false" ht="15" hidden="false" customHeight="false" outlineLevel="0" collapsed="false">
      <c r="A56" s="2" t="s">
        <v>452</v>
      </c>
      <c r="B56" s="2" t="s">
        <v>33</v>
      </c>
      <c r="C56" s="2" t="s">
        <v>437</v>
      </c>
      <c r="D56" s="2" t="s">
        <v>453</v>
      </c>
      <c r="E56" s="2" t="s">
        <v>454</v>
      </c>
      <c r="F56" s="2" t="s">
        <v>82</v>
      </c>
      <c r="G56" s="2" t="s">
        <v>61</v>
      </c>
      <c r="H56" s="2" t="s">
        <v>72</v>
      </c>
      <c r="I56" s="2" t="s">
        <v>447</v>
      </c>
      <c r="J56" s="2" t="s">
        <v>57</v>
      </c>
      <c r="K56" s="2" t="n">
        <v>1</v>
      </c>
      <c r="L56" s="11" t="n">
        <v>0</v>
      </c>
      <c r="M56" s="2" t="n">
        <f aca="false">K56+L56</f>
        <v>1</v>
      </c>
      <c r="N56" s="2" t="s">
        <v>455</v>
      </c>
      <c r="O56" s="2" t="s">
        <v>449</v>
      </c>
      <c r="P56" s="2" t="s">
        <v>456</v>
      </c>
      <c r="Q56" s="2" t="s">
        <v>457</v>
      </c>
    </row>
    <row r="57" customFormat="false" ht="57.45" hidden="false" customHeight="false" outlineLevel="0" collapsed="false">
      <c r="A57" s="2" t="s">
        <v>458</v>
      </c>
      <c r="B57" s="2" t="s">
        <v>33</v>
      </c>
      <c r="C57" s="2" t="s">
        <v>437</v>
      </c>
      <c r="D57" s="2" t="s">
        <v>459</v>
      </c>
      <c r="E57" s="2" t="s">
        <v>460</v>
      </c>
      <c r="F57" s="2" t="s">
        <v>82</v>
      </c>
      <c r="G57" s="2" t="s">
        <v>61</v>
      </c>
      <c r="H57" s="2" t="s">
        <v>74</v>
      </c>
      <c r="I57" s="2" t="s">
        <v>357</v>
      </c>
      <c r="J57" s="2" t="s">
        <v>55</v>
      </c>
      <c r="K57" s="2" t="n">
        <v>1</v>
      </c>
      <c r="L57" s="11" t="n">
        <v>6</v>
      </c>
      <c r="M57" s="2" t="n">
        <f aca="false">K57+L57</f>
        <v>7</v>
      </c>
      <c r="N57" s="2" t="s">
        <v>461</v>
      </c>
      <c r="O57" s="2" t="s">
        <v>462</v>
      </c>
      <c r="P57" s="2" t="s">
        <v>463</v>
      </c>
      <c r="Q57" s="2" t="s">
        <v>464</v>
      </c>
    </row>
    <row r="58" customFormat="false" ht="23.85" hidden="false" customHeight="false" outlineLevel="0" collapsed="false">
      <c r="A58" s="2" t="s">
        <v>465</v>
      </c>
      <c r="B58" s="2" t="s">
        <v>33</v>
      </c>
      <c r="C58" s="2" t="s">
        <v>354</v>
      </c>
      <c r="D58" s="2" t="s">
        <v>466</v>
      </c>
      <c r="E58" s="2" t="s">
        <v>467</v>
      </c>
      <c r="F58" s="2" t="s">
        <v>82</v>
      </c>
      <c r="G58" s="2" t="s">
        <v>60</v>
      </c>
      <c r="H58" s="2" t="s">
        <v>67</v>
      </c>
      <c r="I58" s="2" t="s">
        <v>357</v>
      </c>
      <c r="J58" s="2" t="s">
        <v>56</v>
      </c>
      <c r="K58" s="2" t="n">
        <v>1</v>
      </c>
      <c r="L58" s="11" t="n">
        <v>4</v>
      </c>
      <c r="M58" s="2" t="n">
        <f aca="false">K58+L58</f>
        <v>5</v>
      </c>
      <c r="N58" s="2" t="s">
        <v>468</v>
      </c>
      <c r="O58" s="2" t="s">
        <v>469</v>
      </c>
      <c r="P58" s="2" t="s">
        <v>470</v>
      </c>
      <c r="Q58" s="2" t="s">
        <v>471</v>
      </c>
    </row>
    <row r="59" customFormat="false" ht="46.25" hidden="false" customHeight="false" outlineLevel="0" collapsed="false">
      <c r="A59" s="2" t="s">
        <v>472</v>
      </c>
      <c r="B59" s="2" t="s">
        <v>33</v>
      </c>
      <c r="C59" s="2" t="s">
        <v>354</v>
      </c>
      <c r="D59" s="2" t="s">
        <v>473</v>
      </c>
      <c r="E59" s="2" t="s">
        <v>474</v>
      </c>
      <c r="F59" s="2" t="s">
        <v>92</v>
      </c>
      <c r="G59" s="2" t="s">
        <v>60</v>
      </c>
      <c r="H59" s="2" t="s">
        <v>67</v>
      </c>
      <c r="I59" s="2" t="s">
        <v>357</v>
      </c>
      <c r="J59" s="2" t="s">
        <v>55</v>
      </c>
      <c r="K59" s="2" t="n">
        <v>1</v>
      </c>
      <c r="L59" s="11" t="n">
        <v>6</v>
      </c>
      <c r="M59" s="2" t="n">
        <f aca="false">K59+L59</f>
        <v>7</v>
      </c>
      <c r="N59" s="2" t="s">
        <v>475</v>
      </c>
      <c r="O59" s="2" t="s">
        <v>476</v>
      </c>
      <c r="P59" s="2" t="s">
        <v>477</v>
      </c>
      <c r="Q59" s="2" t="s">
        <v>478</v>
      </c>
    </row>
    <row r="60" customFormat="false" ht="23.85" hidden="false" customHeight="false" outlineLevel="0" collapsed="false">
      <c r="A60" s="2" t="s">
        <v>479</v>
      </c>
      <c r="B60" s="2" t="s">
        <v>33</v>
      </c>
      <c r="C60" s="2" t="s">
        <v>354</v>
      </c>
      <c r="D60" s="2" t="s">
        <v>480</v>
      </c>
      <c r="E60" s="2" t="s">
        <v>481</v>
      </c>
      <c r="F60" s="2" t="s">
        <v>82</v>
      </c>
      <c r="G60" s="2" t="s">
        <v>61</v>
      </c>
      <c r="H60" s="2" t="s">
        <v>72</v>
      </c>
      <c r="I60" s="2" t="s">
        <v>357</v>
      </c>
      <c r="J60" s="2" t="s">
        <v>56</v>
      </c>
      <c r="K60" s="2" t="n">
        <v>3</v>
      </c>
      <c r="L60" s="11" t="n">
        <v>4</v>
      </c>
      <c r="M60" s="2" t="n">
        <f aca="false">K60+L60</f>
        <v>7</v>
      </c>
      <c r="N60" s="2" t="s">
        <v>482</v>
      </c>
      <c r="O60" s="2" t="s">
        <v>483</v>
      </c>
      <c r="P60" s="2" t="s">
        <v>484</v>
      </c>
      <c r="Q60" s="2" t="s">
        <v>485</v>
      </c>
    </row>
    <row r="61" customFormat="false" ht="35.05" hidden="false" customHeight="false" outlineLevel="0" collapsed="false">
      <c r="A61" s="2" t="s">
        <v>486</v>
      </c>
      <c r="B61" s="2" t="s">
        <v>33</v>
      </c>
      <c r="C61" s="2" t="s">
        <v>437</v>
      </c>
      <c r="D61" s="2" t="s">
        <v>487</v>
      </c>
      <c r="E61" s="2" t="s">
        <v>488</v>
      </c>
      <c r="F61" s="2" t="s">
        <v>82</v>
      </c>
      <c r="G61" s="2" t="s">
        <v>64</v>
      </c>
      <c r="H61" s="2" t="s">
        <v>67</v>
      </c>
      <c r="I61" s="2" t="s">
        <v>357</v>
      </c>
      <c r="J61" s="2" t="s">
        <v>56</v>
      </c>
      <c r="K61" s="2" t="n">
        <v>1</v>
      </c>
      <c r="L61" s="11" t="n">
        <v>4</v>
      </c>
      <c r="M61" s="2" t="n">
        <f aca="false">K61+L61</f>
        <v>5</v>
      </c>
      <c r="N61" s="2" t="s">
        <v>489</v>
      </c>
      <c r="O61" s="2" t="s">
        <v>490</v>
      </c>
      <c r="P61" s="2" t="s">
        <v>491</v>
      </c>
      <c r="Q61" s="2" t="s">
        <v>492</v>
      </c>
    </row>
    <row r="62" customFormat="false" ht="46.25" hidden="false" customHeight="false" outlineLevel="0" collapsed="false">
      <c r="A62" s="2" t="s">
        <v>493</v>
      </c>
      <c r="B62" s="2" t="s">
        <v>33</v>
      </c>
      <c r="C62" s="2" t="s">
        <v>354</v>
      </c>
      <c r="D62" s="2" t="s">
        <v>494</v>
      </c>
      <c r="E62" s="2" t="s">
        <v>495</v>
      </c>
      <c r="F62" s="2" t="s">
        <v>82</v>
      </c>
      <c r="G62" s="2" t="s">
        <v>60</v>
      </c>
      <c r="H62" s="2" t="s">
        <v>74</v>
      </c>
      <c r="I62" s="2" t="s">
        <v>357</v>
      </c>
      <c r="J62" s="2" t="s">
        <v>55</v>
      </c>
      <c r="K62" s="2" t="n">
        <v>1</v>
      </c>
      <c r="L62" s="11" t="n">
        <v>6</v>
      </c>
      <c r="M62" s="2" t="n">
        <f aca="false">K62+L62</f>
        <v>7</v>
      </c>
      <c r="N62" s="2" t="s">
        <v>496</v>
      </c>
      <c r="O62" s="2" t="s">
        <v>497</v>
      </c>
      <c r="P62" s="2" t="s">
        <v>498</v>
      </c>
      <c r="Q62" s="2" t="s">
        <v>499</v>
      </c>
    </row>
    <row r="63" customFormat="false" ht="68.65" hidden="false" customHeight="false" outlineLevel="0" collapsed="false">
      <c r="A63" s="2" t="s">
        <v>500</v>
      </c>
      <c r="B63" s="2" t="s">
        <v>33</v>
      </c>
      <c r="C63" s="2" t="s">
        <v>354</v>
      </c>
      <c r="D63" s="2" t="s">
        <v>501</v>
      </c>
      <c r="E63" s="2" t="s">
        <v>502</v>
      </c>
      <c r="F63" s="2" t="s">
        <v>82</v>
      </c>
      <c r="G63" s="2" t="s">
        <v>60</v>
      </c>
      <c r="H63" s="2" t="s">
        <v>72</v>
      </c>
      <c r="I63" s="2" t="s">
        <v>357</v>
      </c>
      <c r="J63" s="2" t="s">
        <v>56</v>
      </c>
      <c r="K63" s="2" t="n">
        <v>1</v>
      </c>
      <c r="L63" s="11" t="n">
        <v>5</v>
      </c>
      <c r="M63" s="2" t="n">
        <f aca="false">K63+L63</f>
        <v>6</v>
      </c>
      <c r="N63" s="2" t="s">
        <v>503</v>
      </c>
      <c r="O63" s="2" t="s">
        <v>504</v>
      </c>
      <c r="P63" s="2" t="s">
        <v>505</v>
      </c>
      <c r="Q63" s="2" t="s">
        <v>506</v>
      </c>
    </row>
    <row r="64" customFormat="false" ht="57.45" hidden="false" customHeight="false" outlineLevel="0" collapsed="false">
      <c r="A64" s="2" t="s">
        <v>507</v>
      </c>
      <c r="B64" s="2" t="s">
        <v>33</v>
      </c>
      <c r="C64" s="2" t="s">
        <v>437</v>
      </c>
      <c r="D64" s="2" t="s">
        <v>508</v>
      </c>
      <c r="E64" s="2" t="s">
        <v>509</v>
      </c>
      <c r="F64" s="2" t="s">
        <v>92</v>
      </c>
      <c r="G64" s="2" t="s">
        <v>60</v>
      </c>
      <c r="H64" s="2" t="s">
        <v>76</v>
      </c>
      <c r="I64" s="2" t="s">
        <v>357</v>
      </c>
      <c r="J64" s="2" t="s">
        <v>56</v>
      </c>
      <c r="K64" s="2" t="n">
        <v>1</v>
      </c>
      <c r="L64" s="11" t="n">
        <v>2</v>
      </c>
      <c r="M64" s="2" t="n">
        <f aca="false">K64+L64</f>
        <v>3</v>
      </c>
      <c r="N64" s="2" t="s">
        <v>510</v>
      </c>
      <c r="O64" s="2" t="s">
        <v>511</v>
      </c>
      <c r="P64" s="2" t="s">
        <v>512</v>
      </c>
      <c r="Q64" s="2" t="s">
        <v>513</v>
      </c>
    </row>
    <row r="65" customFormat="false" ht="46.25" hidden="false" customHeight="false" outlineLevel="0" collapsed="false">
      <c r="A65" s="2" t="s">
        <v>514</v>
      </c>
      <c r="B65" s="2" t="s">
        <v>33</v>
      </c>
      <c r="C65" s="2" t="s">
        <v>354</v>
      </c>
      <c r="D65" s="2" t="s">
        <v>515</v>
      </c>
      <c r="E65" s="2" t="s">
        <v>516</v>
      </c>
      <c r="F65" s="2" t="s">
        <v>82</v>
      </c>
      <c r="G65" s="2" t="s">
        <v>59</v>
      </c>
      <c r="H65" s="2" t="s">
        <v>76</v>
      </c>
      <c r="I65" s="2" t="s">
        <v>391</v>
      </c>
      <c r="J65" s="2" t="s">
        <v>55</v>
      </c>
      <c r="K65" s="2" t="n">
        <v>0</v>
      </c>
      <c r="L65" s="11" t="n">
        <v>6</v>
      </c>
      <c r="M65" s="2" t="n">
        <f aca="false">K65+L65</f>
        <v>6</v>
      </c>
      <c r="N65" s="2" t="s">
        <v>517</v>
      </c>
      <c r="O65" s="2" t="s">
        <v>518</v>
      </c>
      <c r="P65" s="2"/>
      <c r="Q65" s="2" t="s">
        <v>519</v>
      </c>
    </row>
    <row r="66" customFormat="false" ht="35.05" hidden="false" customHeight="false" outlineLevel="0" collapsed="false">
      <c r="A66" s="2" t="s">
        <v>520</v>
      </c>
      <c r="B66" s="2" t="s">
        <v>33</v>
      </c>
      <c r="C66" s="2" t="s">
        <v>354</v>
      </c>
      <c r="D66" s="2" t="s">
        <v>521</v>
      </c>
      <c r="E66" s="2" t="s">
        <v>522</v>
      </c>
      <c r="F66" s="2" t="s">
        <v>82</v>
      </c>
      <c r="G66" s="2" t="s">
        <v>59</v>
      </c>
      <c r="H66" s="2" t="s">
        <v>71</v>
      </c>
      <c r="I66" s="2" t="s">
        <v>120</v>
      </c>
      <c r="J66" s="2" t="s">
        <v>55</v>
      </c>
      <c r="K66" s="2" t="n">
        <v>0</v>
      </c>
      <c r="L66" s="11" t="n">
        <v>10</v>
      </c>
      <c r="M66" s="2" t="n">
        <f aca="false">K66+L66</f>
        <v>10</v>
      </c>
      <c r="N66" s="2" t="s">
        <v>523</v>
      </c>
      <c r="O66" s="2" t="s">
        <v>524</v>
      </c>
      <c r="P66" s="2"/>
      <c r="Q66" s="2" t="s">
        <v>525</v>
      </c>
    </row>
    <row r="67" customFormat="false" ht="35.05" hidden="false" customHeight="false" outlineLevel="0" collapsed="false">
      <c r="A67" s="2" t="s">
        <v>526</v>
      </c>
      <c r="B67" s="2" t="s">
        <v>33</v>
      </c>
      <c r="C67" s="2" t="s">
        <v>527</v>
      </c>
      <c r="D67" s="2" t="s">
        <v>528</v>
      </c>
      <c r="E67" s="2" t="s">
        <v>529</v>
      </c>
      <c r="F67" s="2" t="s">
        <v>88</v>
      </c>
      <c r="G67" s="2" t="s">
        <v>60</v>
      </c>
      <c r="H67" s="2" t="s">
        <v>76</v>
      </c>
      <c r="I67" s="2" t="s">
        <v>120</v>
      </c>
      <c r="J67" s="2" t="s">
        <v>55</v>
      </c>
      <c r="K67" s="2" t="n">
        <v>0</v>
      </c>
      <c r="L67" s="11" t="n">
        <v>5</v>
      </c>
      <c r="M67" s="2" t="n">
        <f aca="false">K67+L67</f>
        <v>5</v>
      </c>
      <c r="N67" s="2" t="s">
        <v>530</v>
      </c>
      <c r="O67" s="2" t="s">
        <v>531</v>
      </c>
      <c r="P67" s="2"/>
      <c r="Q67" s="2" t="s">
        <v>532</v>
      </c>
    </row>
    <row r="68" customFormat="false" ht="35.05" hidden="false" customHeight="false" outlineLevel="0" collapsed="false">
      <c r="A68" s="2" t="s">
        <v>533</v>
      </c>
      <c r="B68" s="2" t="s">
        <v>33</v>
      </c>
      <c r="C68" s="2" t="s">
        <v>437</v>
      </c>
      <c r="D68" s="2" t="s">
        <v>534</v>
      </c>
      <c r="E68" s="2" t="s">
        <v>535</v>
      </c>
      <c r="F68" s="2" t="s">
        <v>82</v>
      </c>
      <c r="G68" s="2" t="s">
        <v>62</v>
      </c>
      <c r="H68" s="2" t="s">
        <v>76</v>
      </c>
      <c r="I68" s="2" t="s">
        <v>120</v>
      </c>
      <c r="J68" s="2" t="s">
        <v>56</v>
      </c>
      <c r="K68" s="2" t="n">
        <v>0</v>
      </c>
      <c r="L68" s="11" t="n">
        <v>3</v>
      </c>
      <c r="M68" s="2" t="n">
        <f aca="false">K68+L68</f>
        <v>3</v>
      </c>
      <c r="N68" s="2" t="s">
        <v>536</v>
      </c>
      <c r="O68" s="2" t="s">
        <v>537</v>
      </c>
      <c r="P68" s="2"/>
      <c r="Q68" s="2" t="s">
        <v>538</v>
      </c>
    </row>
    <row r="69" customFormat="false" ht="23.85" hidden="false" customHeight="false" outlineLevel="0" collapsed="false">
      <c r="A69" s="2" t="s">
        <v>539</v>
      </c>
      <c r="B69" s="2" t="s">
        <v>33</v>
      </c>
      <c r="C69" s="2" t="s">
        <v>437</v>
      </c>
      <c r="D69" s="2" t="s">
        <v>540</v>
      </c>
      <c r="E69" s="2" t="s">
        <v>541</v>
      </c>
      <c r="F69" s="2" t="s">
        <v>92</v>
      </c>
      <c r="G69" s="2" t="s">
        <v>63</v>
      </c>
      <c r="H69" s="2" t="s">
        <v>71</v>
      </c>
      <c r="I69" s="2" t="s">
        <v>357</v>
      </c>
      <c r="J69" s="2" t="s">
        <v>56</v>
      </c>
      <c r="K69" s="2" t="n">
        <v>1</v>
      </c>
      <c r="L69" s="11" t="n">
        <v>3</v>
      </c>
      <c r="M69" s="2" t="n">
        <f aca="false">K69+L69</f>
        <v>4</v>
      </c>
      <c r="N69" s="2" t="s">
        <v>448</v>
      </c>
      <c r="O69" s="2" t="s">
        <v>542</v>
      </c>
      <c r="P69" s="2" t="s">
        <v>543</v>
      </c>
      <c r="Q69" s="2" t="s">
        <v>544</v>
      </c>
    </row>
    <row r="70" customFormat="false" ht="35.05" hidden="false" customHeight="false" outlineLevel="0" collapsed="false">
      <c r="A70" s="2" t="s">
        <v>545</v>
      </c>
      <c r="B70" s="2" t="s">
        <v>33</v>
      </c>
      <c r="C70" s="2" t="s">
        <v>370</v>
      </c>
      <c r="D70" s="2" t="s">
        <v>546</v>
      </c>
      <c r="E70" s="2" t="s">
        <v>547</v>
      </c>
      <c r="F70" s="2" t="s">
        <v>78</v>
      </c>
      <c r="G70" s="2" t="s">
        <v>59</v>
      </c>
      <c r="H70" s="2" t="s">
        <v>72</v>
      </c>
      <c r="I70" s="2" t="s">
        <v>120</v>
      </c>
      <c r="J70" s="2" t="s">
        <v>55</v>
      </c>
      <c r="K70" s="2" t="n">
        <v>0</v>
      </c>
      <c r="L70" s="11" t="n">
        <v>6</v>
      </c>
      <c r="M70" s="2" t="n">
        <f aca="false">K70+L70</f>
        <v>6</v>
      </c>
      <c r="N70" s="2" t="s">
        <v>548</v>
      </c>
      <c r="O70" s="2" t="s">
        <v>549</v>
      </c>
      <c r="P70" s="2"/>
      <c r="Q70" s="2" t="s">
        <v>550</v>
      </c>
    </row>
    <row r="71" customFormat="false" ht="68.65" hidden="false" customHeight="false" outlineLevel="0" collapsed="false">
      <c r="A71" s="2" t="s">
        <v>551</v>
      </c>
      <c r="B71" s="2" t="s">
        <v>33</v>
      </c>
      <c r="C71" s="2" t="s">
        <v>437</v>
      </c>
      <c r="D71" s="2" t="s">
        <v>552</v>
      </c>
      <c r="E71" s="2" t="s">
        <v>553</v>
      </c>
      <c r="F71" s="2" t="s">
        <v>83</v>
      </c>
      <c r="G71" s="2" t="s">
        <v>62</v>
      </c>
      <c r="H71" s="2" t="s">
        <v>75</v>
      </c>
      <c r="I71" s="2" t="s">
        <v>447</v>
      </c>
      <c r="J71" s="2" t="s">
        <v>57</v>
      </c>
      <c r="K71" s="2" t="n">
        <v>16</v>
      </c>
      <c r="L71" s="11" t="n">
        <v>0</v>
      </c>
      <c r="M71" s="2" t="n">
        <f aca="false">K71+L71</f>
        <v>16</v>
      </c>
      <c r="N71" s="2" t="s">
        <v>448</v>
      </c>
      <c r="O71" s="2" t="s">
        <v>554</v>
      </c>
      <c r="P71" s="2" t="s">
        <v>555</v>
      </c>
      <c r="Q71" s="2" t="s">
        <v>556</v>
      </c>
    </row>
    <row r="72" customFormat="false" ht="91" hidden="false" customHeight="false" outlineLevel="0" collapsed="false">
      <c r="A72" s="2" t="s">
        <v>557</v>
      </c>
      <c r="B72" s="2" t="s">
        <v>33</v>
      </c>
      <c r="C72" s="2" t="s">
        <v>437</v>
      </c>
      <c r="D72" s="2" t="s">
        <v>558</v>
      </c>
      <c r="E72" s="2" t="s">
        <v>559</v>
      </c>
      <c r="F72" s="2" t="s">
        <v>84</v>
      </c>
      <c r="G72" s="2" t="s">
        <v>62</v>
      </c>
      <c r="H72" s="2" t="s">
        <v>75</v>
      </c>
      <c r="I72" s="2" t="s">
        <v>447</v>
      </c>
      <c r="J72" s="2" t="s">
        <v>57</v>
      </c>
      <c r="K72" s="2" t="n">
        <v>14</v>
      </c>
      <c r="L72" s="11" t="n">
        <v>0</v>
      </c>
      <c r="M72" s="2" t="n">
        <f aca="false">K72+L72</f>
        <v>14</v>
      </c>
      <c r="N72" s="2" t="s">
        <v>448</v>
      </c>
      <c r="O72" s="2" t="s">
        <v>560</v>
      </c>
      <c r="P72" s="2" t="s">
        <v>561</v>
      </c>
      <c r="Q72" s="2" t="s">
        <v>562</v>
      </c>
    </row>
    <row r="73" customFormat="false" ht="79.85" hidden="false" customHeight="false" outlineLevel="0" collapsed="false">
      <c r="A73" s="2" t="s">
        <v>563</v>
      </c>
      <c r="B73" s="2" t="s">
        <v>33</v>
      </c>
      <c r="C73" s="2" t="s">
        <v>437</v>
      </c>
      <c r="D73" s="2" t="s">
        <v>564</v>
      </c>
      <c r="E73" s="2" t="s">
        <v>565</v>
      </c>
      <c r="F73" s="2" t="s">
        <v>85</v>
      </c>
      <c r="G73" s="2" t="s">
        <v>62</v>
      </c>
      <c r="H73" s="2" t="s">
        <v>75</v>
      </c>
      <c r="I73" s="2" t="s">
        <v>447</v>
      </c>
      <c r="J73" s="2" t="s">
        <v>57</v>
      </c>
      <c r="K73" s="2" t="n">
        <v>13</v>
      </c>
      <c r="L73" s="11" t="n">
        <v>0</v>
      </c>
      <c r="M73" s="2" t="n">
        <f aca="false">K73+L73</f>
        <v>13</v>
      </c>
      <c r="N73" s="2" t="s">
        <v>566</v>
      </c>
      <c r="O73" s="2" t="s">
        <v>567</v>
      </c>
      <c r="P73" s="2" t="s">
        <v>568</v>
      </c>
      <c r="Q73" s="2" t="s">
        <v>569</v>
      </c>
    </row>
    <row r="74" customFormat="false" ht="79.85" hidden="false" customHeight="false" outlineLevel="0" collapsed="false">
      <c r="A74" s="2" t="s">
        <v>570</v>
      </c>
      <c r="B74" s="2" t="s">
        <v>33</v>
      </c>
      <c r="C74" s="2" t="s">
        <v>437</v>
      </c>
      <c r="D74" s="2" t="s">
        <v>571</v>
      </c>
      <c r="E74" s="2" t="s">
        <v>572</v>
      </c>
      <c r="F74" s="2" t="s">
        <v>101</v>
      </c>
      <c r="G74" s="2" t="s">
        <v>62</v>
      </c>
      <c r="H74" s="2" t="s">
        <v>75</v>
      </c>
      <c r="I74" s="2" t="s">
        <v>447</v>
      </c>
      <c r="J74" s="2" t="s">
        <v>57</v>
      </c>
      <c r="K74" s="2" t="n">
        <v>16</v>
      </c>
      <c r="L74" s="11" t="n">
        <v>0</v>
      </c>
      <c r="M74" s="2" t="n">
        <f aca="false">K74+L74</f>
        <v>16</v>
      </c>
      <c r="N74" s="2" t="s">
        <v>566</v>
      </c>
      <c r="O74" s="2" t="s">
        <v>573</v>
      </c>
      <c r="P74" s="2" t="s">
        <v>574</v>
      </c>
      <c r="Q74" s="2" t="s">
        <v>575</v>
      </c>
    </row>
    <row r="75" customFormat="false" ht="46.25" hidden="false" customHeight="false" outlineLevel="0" collapsed="false">
      <c r="A75" s="2" t="s">
        <v>576</v>
      </c>
      <c r="B75" s="2" t="s">
        <v>33</v>
      </c>
      <c r="C75" s="2" t="s">
        <v>437</v>
      </c>
      <c r="D75" s="2" t="s">
        <v>577</v>
      </c>
      <c r="E75" s="2" t="s">
        <v>578</v>
      </c>
      <c r="F75" s="2" t="s">
        <v>95</v>
      </c>
      <c r="G75" s="2" t="s">
        <v>59</v>
      </c>
      <c r="H75" s="2" t="s">
        <v>75</v>
      </c>
      <c r="I75" s="2" t="s">
        <v>120</v>
      </c>
      <c r="J75" s="2" t="s">
        <v>56</v>
      </c>
      <c r="K75" s="2" t="n">
        <v>0</v>
      </c>
      <c r="L75" s="11" t="n">
        <v>9</v>
      </c>
      <c r="M75" s="2" t="n">
        <f aca="false">K75+L75</f>
        <v>9</v>
      </c>
      <c r="N75" s="2" t="s">
        <v>566</v>
      </c>
      <c r="O75" s="2" t="s">
        <v>579</v>
      </c>
      <c r="P75" s="2"/>
      <c r="Q75" s="2" t="s">
        <v>580</v>
      </c>
    </row>
    <row r="76" customFormat="false" ht="35.05" hidden="false" customHeight="false" outlineLevel="0" collapsed="false">
      <c r="A76" s="2" t="s">
        <v>581</v>
      </c>
      <c r="B76" s="2" t="s">
        <v>33</v>
      </c>
      <c r="C76" s="2" t="s">
        <v>437</v>
      </c>
      <c r="D76" s="2" t="s">
        <v>582</v>
      </c>
      <c r="E76" s="2" t="s">
        <v>583</v>
      </c>
      <c r="F76" s="2" t="s">
        <v>95</v>
      </c>
      <c r="G76" s="2" t="s">
        <v>60</v>
      </c>
      <c r="H76" s="2" t="s">
        <v>75</v>
      </c>
      <c r="I76" s="2" t="s">
        <v>120</v>
      </c>
      <c r="J76" s="2" t="s">
        <v>56</v>
      </c>
      <c r="K76" s="2" t="n">
        <v>0</v>
      </c>
      <c r="L76" s="11" t="n">
        <v>8</v>
      </c>
      <c r="M76" s="2" t="n">
        <f aca="false">K76+L76</f>
        <v>8</v>
      </c>
      <c r="N76" s="2" t="s">
        <v>566</v>
      </c>
      <c r="O76" s="2" t="s">
        <v>584</v>
      </c>
      <c r="P76" s="2"/>
      <c r="Q76" s="2" t="s">
        <v>585</v>
      </c>
    </row>
    <row r="77" customFormat="false" ht="23.85" hidden="false" customHeight="false" outlineLevel="0" collapsed="false">
      <c r="A77" s="2" t="s">
        <v>586</v>
      </c>
      <c r="B77" s="2" t="s">
        <v>33</v>
      </c>
      <c r="C77" s="2" t="s">
        <v>437</v>
      </c>
      <c r="D77" s="2" t="s">
        <v>587</v>
      </c>
      <c r="E77" s="2" t="s">
        <v>588</v>
      </c>
      <c r="F77" s="2" t="s">
        <v>97</v>
      </c>
      <c r="G77" s="2" t="s">
        <v>63</v>
      </c>
      <c r="H77" s="2" t="s">
        <v>75</v>
      </c>
      <c r="I77" s="2" t="s">
        <v>120</v>
      </c>
      <c r="J77" s="2" t="s">
        <v>56</v>
      </c>
      <c r="K77" s="2" t="n">
        <v>0</v>
      </c>
      <c r="L77" s="11" t="n">
        <v>5</v>
      </c>
      <c r="M77" s="2" t="n">
        <f aca="false">K77+L77</f>
        <v>5</v>
      </c>
      <c r="N77" s="2" t="s">
        <v>566</v>
      </c>
      <c r="O77" s="2" t="s">
        <v>589</v>
      </c>
      <c r="P77" s="2"/>
      <c r="Q77" s="2" t="s">
        <v>590</v>
      </c>
    </row>
    <row r="78" customFormat="false" ht="35.05" hidden="false" customHeight="false" outlineLevel="0" collapsed="false">
      <c r="A78" s="2" t="s">
        <v>591</v>
      </c>
      <c r="B78" s="2" t="s">
        <v>33</v>
      </c>
      <c r="C78" s="2" t="s">
        <v>354</v>
      </c>
      <c r="D78" s="2" t="s">
        <v>592</v>
      </c>
      <c r="E78" s="2" t="s">
        <v>593</v>
      </c>
      <c r="F78" s="2" t="s">
        <v>78</v>
      </c>
      <c r="G78" s="2" t="s">
        <v>59</v>
      </c>
      <c r="H78" s="2" t="s">
        <v>67</v>
      </c>
      <c r="I78" s="2" t="s">
        <v>120</v>
      </c>
      <c r="J78" s="2" t="s">
        <v>56</v>
      </c>
      <c r="K78" s="2" t="n">
        <v>0</v>
      </c>
      <c r="L78" s="11" t="n">
        <v>6</v>
      </c>
      <c r="M78" s="2" t="n">
        <f aca="false">K78+L78</f>
        <v>6</v>
      </c>
      <c r="N78" s="2" t="s">
        <v>416</v>
      </c>
      <c r="O78" s="2" t="s">
        <v>594</v>
      </c>
      <c r="P78" s="2"/>
      <c r="Q78" s="2" t="s">
        <v>595</v>
      </c>
    </row>
    <row r="79" customFormat="false" ht="35.05" hidden="false" customHeight="false" outlineLevel="0" collapsed="false">
      <c r="A79" s="2" t="s">
        <v>596</v>
      </c>
      <c r="B79" s="2" t="s">
        <v>34</v>
      </c>
      <c r="C79" s="2" t="s">
        <v>597</v>
      </c>
      <c r="D79" s="2" t="s">
        <v>598</v>
      </c>
      <c r="E79" s="2" t="s">
        <v>599</v>
      </c>
      <c r="F79" s="2" t="s">
        <v>83</v>
      </c>
      <c r="G79" s="2" t="s">
        <v>61</v>
      </c>
      <c r="H79" s="2" t="s">
        <v>72</v>
      </c>
      <c r="I79" s="2" t="s">
        <v>357</v>
      </c>
      <c r="J79" s="2" t="s">
        <v>56</v>
      </c>
      <c r="K79" s="2" t="n">
        <v>1</v>
      </c>
      <c r="L79" s="11" t="n">
        <v>3</v>
      </c>
      <c r="M79" s="2" t="n">
        <f aca="false">K79+L79</f>
        <v>4</v>
      </c>
      <c r="N79" s="2" t="s">
        <v>600</v>
      </c>
      <c r="O79" s="2" t="s">
        <v>601</v>
      </c>
      <c r="P79" s="2" t="s">
        <v>602</v>
      </c>
      <c r="Q79" s="2" t="s">
        <v>603</v>
      </c>
    </row>
    <row r="80" customFormat="false" ht="35.05" hidden="false" customHeight="false" outlineLevel="0" collapsed="false">
      <c r="A80" s="2" t="s">
        <v>604</v>
      </c>
      <c r="B80" s="2" t="s">
        <v>34</v>
      </c>
      <c r="C80" s="2" t="s">
        <v>597</v>
      </c>
      <c r="D80" s="2" t="s">
        <v>605</v>
      </c>
      <c r="E80" s="2" t="s">
        <v>606</v>
      </c>
      <c r="F80" s="2" t="s">
        <v>83</v>
      </c>
      <c r="G80" s="2" t="s">
        <v>64</v>
      </c>
      <c r="H80" s="2" t="s">
        <v>67</v>
      </c>
      <c r="I80" s="2" t="s">
        <v>357</v>
      </c>
      <c r="J80" s="2" t="s">
        <v>55</v>
      </c>
      <c r="K80" s="2" t="n">
        <v>1</v>
      </c>
      <c r="L80" s="11" t="n">
        <v>8</v>
      </c>
      <c r="M80" s="2" t="n">
        <f aca="false">K80+L80</f>
        <v>9</v>
      </c>
      <c r="N80" s="2" t="s">
        <v>607</v>
      </c>
      <c r="O80" s="2" t="s">
        <v>608</v>
      </c>
      <c r="P80" s="2" t="s">
        <v>609</v>
      </c>
      <c r="Q80" s="2" t="s">
        <v>610</v>
      </c>
    </row>
    <row r="81" customFormat="false" ht="35.05" hidden="false" customHeight="false" outlineLevel="0" collapsed="false">
      <c r="A81" s="2" t="s">
        <v>611</v>
      </c>
      <c r="B81" s="2" t="s">
        <v>34</v>
      </c>
      <c r="C81" s="2" t="s">
        <v>597</v>
      </c>
      <c r="D81" s="2" t="s">
        <v>612</v>
      </c>
      <c r="E81" s="2" t="s">
        <v>613</v>
      </c>
      <c r="F81" s="2" t="s">
        <v>83</v>
      </c>
      <c r="G81" s="2" t="s">
        <v>64</v>
      </c>
      <c r="H81" s="2" t="s">
        <v>74</v>
      </c>
      <c r="I81" s="2" t="s">
        <v>357</v>
      </c>
      <c r="J81" s="2" t="s">
        <v>55</v>
      </c>
      <c r="K81" s="2" t="n">
        <v>3</v>
      </c>
      <c r="L81" s="11" t="n">
        <v>6</v>
      </c>
      <c r="M81" s="2" t="n">
        <f aca="false">K81+L81</f>
        <v>9</v>
      </c>
      <c r="N81" s="2" t="s">
        <v>607</v>
      </c>
      <c r="O81" s="2" t="s">
        <v>614</v>
      </c>
      <c r="P81" s="2" t="s">
        <v>615</v>
      </c>
      <c r="Q81" s="2" t="s">
        <v>616</v>
      </c>
    </row>
    <row r="82" customFormat="false" ht="15" hidden="false" customHeight="false" outlineLevel="0" collapsed="false">
      <c r="A82" s="2" t="s">
        <v>617</v>
      </c>
      <c r="B82" s="2" t="s">
        <v>34</v>
      </c>
      <c r="C82" s="2" t="s">
        <v>618</v>
      </c>
      <c r="D82" s="2" t="s">
        <v>619</v>
      </c>
      <c r="E82" s="2" t="s">
        <v>620</v>
      </c>
      <c r="F82" s="2" t="s">
        <v>83</v>
      </c>
      <c r="G82" s="2" t="s">
        <v>61</v>
      </c>
      <c r="H82" s="2" t="s">
        <v>76</v>
      </c>
      <c r="I82" s="2" t="s">
        <v>447</v>
      </c>
      <c r="J82" s="2" t="s">
        <v>57</v>
      </c>
      <c r="K82" s="2" t="n">
        <v>1</v>
      </c>
      <c r="L82" s="11" t="n">
        <v>0</v>
      </c>
      <c r="M82" s="2" t="n">
        <f aca="false">K82+L82</f>
        <v>1</v>
      </c>
      <c r="N82" s="2" t="s">
        <v>621</v>
      </c>
      <c r="O82" s="2" t="s">
        <v>622</v>
      </c>
      <c r="P82" s="2" t="s">
        <v>623</v>
      </c>
      <c r="Q82" s="2" t="s">
        <v>624</v>
      </c>
    </row>
    <row r="83" customFormat="false" ht="35.05" hidden="false" customHeight="false" outlineLevel="0" collapsed="false">
      <c r="A83" s="2" t="s">
        <v>625</v>
      </c>
      <c r="B83" s="2" t="s">
        <v>34</v>
      </c>
      <c r="C83" s="2" t="s">
        <v>597</v>
      </c>
      <c r="D83" s="2" t="s">
        <v>626</v>
      </c>
      <c r="E83" s="2" t="s">
        <v>627</v>
      </c>
      <c r="F83" s="2" t="s">
        <v>83</v>
      </c>
      <c r="G83" s="2" t="s">
        <v>61</v>
      </c>
      <c r="H83" s="2" t="s">
        <v>71</v>
      </c>
      <c r="I83" s="2" t="s">
        <v>357</v>
      </c>
      <c r="J83" s="2" t="s">
        <v>55</v>
      </c>
      <c r="K83" s="2" t="n">
        <v>1</v>
      </c>
      <c r="L83" s="11" t="n">
        <v>8</v>
      </c>
      <c r="M83" s="2" t="n">
        <f aca="false">K83+L83</f>
        <v>9</v>
      </c>
      <c r="N83" s="2" t="s">
        <v>628</v>
      </c>
      <c r="O83" s="2" t="s">
        <v>629</v>
      </c>
      <c r="P83" s="2" t="s">
        <v>630</v>
      </c>
      <c r="Q83" s="2" t="s">
        <v>631</v>
      </c>
    </row>
    <row r="84" customFormat="false" ht="46.25" hidden="false" customHeight="false" outlineLevel="0" collapsed="false">
      <c r="A84" s="2" t="s">
        <v>632</v>
      </c>
      <c r="B84" s="2" t="s">
        <v>34</v>
      </c>
      <c r="C84" s="2" t="s">
        <v>597</v>
      </c>
      <c r="D84" s="2" t="s">
        <v>633</v>
      </c>
      <c r="E84" s="2" t="s">
        <v>634</v>
      </c>
      <c r="F84" s="2" t="s">
        <v>83</v>
      </c>
      <c r="G84" s="2" t="s">
        <v>64</v>
      </c>
      <c r="H84" s="2" t="s">
        <v>68</v>
      </c>
      <c r="I84" s="2" t="s">
        <v>357</v>
      </c>
      <c r="J84" s="2" t="s">
        <v>55</v>
      </c>
      <c r="K84" s="2" t="n">
        <v>1</v>
      </c>
      <c r="L84" s="11" t="n">
        <v>4</v>
      </c>
      <c r="M84" s="2" t="n">
        <f aca="false">K84+L84</f>
        <v>5</v>
      </c>
      <c r="N84" s="2" t="s">
        <v>600</v>
      </c>
      <c r="O84" s="2" t="s">
        <v>635</v>
      </c>
      <c r="P84" s="2" t="s">
        <v>636</v>
      </c>
      <c r="Q84" s="2" t="s">
        <v>637</v>
      </c>
    </row>
    <row r="85" customFormat="false" ht="35.05" hidden="false" customHeight="false" outlineLevel="0" collapsed="false">
      <c r="A85" s="2" t="s">
        <v>638</v>
      </c>
      <c r="B85" s="2" t="s">
        <v>34</v>
      </c>
      <c r="C85" s="2" t="s">
        <v>639</v>
      </c>
      <c r="D85" s="2" t="s">
        <v>640</v>
      </c>
      <c r="E85" s="2" t="s">
        <v>641</v>
      </c>
      <c r="F85" s="2" t="s">
        <v>83</v>
      </c>
      <c r="G85" s="2" t="s">
        <v>60</v>
      </c>
      <c r="H85" s="2" t="s">
        <v>74</v>
      </c>
      <c r="I85" s="2" t="s">
        <v>120</v>
      </c>
      <c r="J85" s="2" t="s">
        <v>56</v>
      </c>
      <c r="K85" s="2" t="n">
        <v>0</v>
      </c>
      <c r="L85" s="11" t="n">
        <v>9</v>
      </c>
      <c r="M85" s="2" t="n">
        <f aca="false">K85+L85</f>
        <v>9</v>
      </c>
      <c r="N85" s="2" t="s">
        <v>642</v>
      </c>
      <c r="O85" s="2" t="s">
        <v>643</v>
      </c>
      <c r="P85" s="2"/>
      <c r="Q85" s="2" t="s">
        <v>644</v>
      </c>
    </row>
    <row r="86" customFormat="false" ht="35.05" hidden="false" customHeight="false" outlineLevel="0" collapsed="false">
      <c r="A86" s="2" t="s">
        <v>645</v>
      </c>
      <c r="B86" s="2" t="s">
        <v>34</v>
      </c>
      <c r="C86" s="2" t="s">
        <v>639</v>
      </c>
      <c r="D86" s="2" t="s">
        <v>646</v>
      </c>
      <c r="E86" s="2" t="s">
        <v>647</v>
      </c>
      <c r="F86" s="2" t="s">
        <v>83</v>
      </c>
      <c r="G86" s="2" t="s">
        <v>60</v>
      </c>
      <c r="H86" s="2" t="s">
        <v>67</v>
      </c>
      <c r="I86" s="2" t="s">
        <v>391</v>
      </c>
      <c r="J86" s="2" t="s">
        <v>55</v>
      </c>
      <c r="K86" s="2" t="n">
        <v>0</v>
      </c>
      <c r="L86" s="11" t="n">
        <v>8</v>
      </c>
      <c r="M86" s="2" t="n">
        <f aca="false">K86+L86</f>
        <v>8</v>
      </c>
      <c r="N86" s="2" t="s">
        <v>642</v>
      </c>
      <c r="O86" s="2" t="s">
        <v>648</v>
      </c>
      <c r="P86" s="2"/>
      <c r="Q86" s="2" t="s">
        <v>649</v>
      </c>
    </row>
    <row r="87" customFormat="false" ht="57.45" hidden="false" customHeight="false" outlineLevel="0" collapsed="false">
      <c r="A87" s="2" t="s">
        <v>650</v>
      </c>
      <c r="B87" s="2" t="s">
        <v>34</v>
      </c>
      <c r="C87" s="2" t="s">
        <v>618</v>
      </c>
      <c r="D87" s="2" t="s">
        <v>651</v>
      </c>
      <c r="E87" s="2" t="s">
        <v>652</v>
      </c>
      <c r="F87" s="2" t="s">
        <v>83</v>
      </c>
      <c r="G87" s="2" t="s">
        <v>60</v>
      </c>
      <c r="H87" s="2" t="s">
        <v>76</v>
      </c>
      <c r="I87" s="2" t="s">
        <v>447</v>
      </c>
      <c r="J87" s="2" t="s">
        <v>57</v>
      </c>
      <c r="K87" s="2" t="n">
        <v>1</v>
      </c>
      <c r="L87" s="11" t="n">
        <v>0</v>
      </c>
      <c r="M87" s="2" t="n">
        <f aca="false">K87+L87</f>
        <v>1</v>
      </c>
      <c r="N87" s="2" t="s">
        <v>621</v>
      </c>
      <c r="O87" s="2" t="s">
        <v>653</v>
      </c>
      <c r="P87" s="2" t="s">
        <v>512</v>
      </c>
      <c r="Q87" s="2" t="s">
        <v>654</v>
      </c>
    </row>
    <row r="88" customFormat="false" ht="23.85" hidden="false" customHeight="false" outlineLevel="0" collapsed="false">
      <c r="A88" s="2" t="s">
        <v>655</v>
      </c>
      <c r="B88" s="2" t="s">
        <v>34</v>
      </c>
      <c r="C88" s="2" t="s">
        <v>597</v>
      </c>
      <c r="D88" s="2" t="s">
        <v>656</v>
      </c>
      <c r="E88" s="2" t="s">
        <v>657</v>
      </c>
      <c r="F88" s="2" t="s">
        <v>83</v>
      </c>
      <c r="G88" s="2" t="s">
        <v>60</v>
      </c>
      <c r="H88" s="2" t="s">
        <v>72</v>
      </c>
      <c r="I88" s="2" t="s">
        <v>357</v>
      </c>
      <c r="J88" s="2" t="s">
        <v>56</v>
      </c>
      <c r="K88" s="2" t="n">
        <v>1</v>
      </c>
      <c r="L88" s="11" t="n">
        <v>6</v>
      </c>
      <c r="M88" s="2" t="n">
        <f aca="false">K88+L88</f>
        <v>7</v>
      </c>
      <c r="N88" s="2" t="s">
        <v>658</v>
      </c>
      <c r="O88" s="2" t="s">
        <v>659</v>
      </c>
      <c r="P88" s="2" t="s">
        <v>660</v>
      </c>
      <c r="Q88" s="2" t="s">
        <v>661</v>
      </c>
    </row>
    <row r="89" customFormat="false" ht="46.25" hidden="false" customHeight="false" outlineLevel="0" collapsed="false">
      <c r="A89" s="2" t="s">
        <v>662</v>
      </c>
      <c r="B89" s="2" t="s">
        <v>34</v>
      </c>
      <c r="C89" s="2" t="s">
        <v>597</v>
      </c>
      <c r="D89" s="2" t="s">
        <v>663</v>
      </c>
      <c r="E89" s="2" t="s">
        <v>664</v>
      </c>
      <c r="F89" s="2" t="s">
        <v>83</v>
      </c>
      <c r="G89" s="2" t="s">
        <v>61</v>
      </c>
      <c r="H89" s="2" t="s">
        <v>71</v>
      </c>
      <c r="I89" s="2" t="s">
        <v>357</v>
      </c>
      <c r="J89" s="2" t="s">
        <v>56</v>
      </c>
      <c r="K89" s="2" t="n">
        <v>1</v>
      </c>
      <c r="L89" s="11" t="n">
        <v>3</v>
      </c>
      <c r="M89" s="2" t="n">
        <f aca="false">K89+L89</f>
        <v>4</v>
      </c>
      <c r="N89" s="2" t="s">
        <v>658</v>
      </c>
      <c r="O89" s="2" t="s">
        <v>665</v>
      </c>
      <c r="P89" s="2" t="s">
        <v>666</v>
      </c>
      <c r="Q89" s="2" t="s">
        <v>667</v>
      </c>
    </row>
    <row r="90" customFormat="false" ht="57.45" hidden="false" customHeight="false" outlineLevel="0" collapsed="false">
      <c r="A90" s="2" t="s">
        <v>668</v>
      </c>
      <c r="B90" s="2" t="s">
        <v>34</v>
      </c>
      <c r="C90" s="2" t="s">
        <v>597</v>
      </c>
      <c r="D90" s="2" t="s">
        <v>669</v>
      </c>
      <c r="E90" s="2" t="s">
        <v>670</v>
      </c>
      <c r="F90" s="2" t="s">
        <v>83</v>
      </c>
      <c r="G90" s="2" t="s">
        <v>59</v>
      </c>
      <c r="H90" s="2" t="s">
        <v>76</v>
      </c>
      <c r="I90" s="2" t="s">
        <v>357</v>
      </c>
      <c r="J90" s="2" t="s">
        <v>56</v>
      </c>
      <c r="K90" s="2" t="n">
        <v>1</v>
      </c>
      <c r="L90" s="11" t="n">
        <v>8</v>
      </c>
      <c r="M90" s="2" t="n">
        <f aca="false">K90+L90</f>
        <v>9</v>
      </c>
      <c r="N90" s="2" t="s">
        <v>671</v>
      </c>
      <c r="O90" s="2" t="s">
        <v>672</v>
      </c>
      <c r="P90" s="2" t="s">
        <v>673</v>
      </c>
      <c r="Q90" s="2" t="s">
        <v>674</v>
      </c>
    </row>
    <row r="91" customFormat="false" ht="35.05" hidden="false" customHeight="false" outlineLevel="0" collapsed="false">
      <c r="A91" s="2" t="s">
        <v>675</v>
      </c>
      <c r="B91" s="2" t="s">
        <v>34</v>
      </c>
      <c r="C91" s="2" t="s">
        <v>597</v>
      </c>
      <c r="D91" s="2" t="s">
        <v>676</v>
      </c>
      <c r="E91" s="2" t="s">
        <v>677</v>
      </c>
      <c r="F91" s="2" t="s">
        <v>83</v>
      </c>
      <c r="G91" s="2" t="s">
        <v>59</v>
      </c>
      <c r="H91" s="2" t="s">
        <v>76</v>
      </c>
      <c r="I91" s="2" t="s">
        <v>357</v>
      </c>
      <c r="J91" s="2" t="s">
        <v>55</v>
      </c>
      <c r="K91" s="2" t="n">
        <v>1</v>
      </c>
      <c r="L91" s="11" t="n">
        <v>6</v>
      </c>
      <c r="M91" s="2" t="n">
        <f aca="false">K91+L91</f>
        <v>7</v>
      </c>
      <c r="N91" s="2" t="s">
        <v>671</v>
      </c>
      <c r="O91" s="2" t="s">
        <v>678</v>
      </c>
      <c r="P91" s="2" t="s">
        <v>679</v>
      </c>
      <c r="Q91" s="2" t="s">
        <v>680</v>
      </c>
    </row>
    <row r="92" customFormat="false" ht="23.85" hidden="false" customHeight="false" outlineLevel="0" collapsed="false">
      <c r="A92" s="2" t="s">
        <v>681</v>
      </c>
      <c r="B92" s="2" t="s">
        <v>34</v>
      </c>
      <c r="C92" s="2" t="s">
        <v>639</v>
      </c>
      <c r="D92" s="2" t="s">
        <v>682</v>
      </c>
      <c r="E92" s="2" t="s">
        <v>683</v>
      </c>
      <c r="F92" s="2" t="s">
        <v>83</v>
      </c>
      <c r="G92" s="2" t="s">
        <v>59</v>
      </c>
      <c r="H92" s="2" t="s">
        <v>72</v>
      </c>
      <c r="I92" s="2" t="s">
        <v>391</v>
      </c>
      <c r="J92" s="2" t="s">
        <v>55</v>
      </c>
      <c r="K92" s="2" t="n">
        <v>0</v>
      </c>
      <c r="L92" s="11" t="n">
        <v>6</v>
      </c>
      <c r="M92" s="2" t="n">
        <f aca="false">K92+L92</f>
        <v>6</v>
      </c>
      <c r="N92" s="2" t="s">
        <v>684</v>
      </c>
      <c r="O92" s="2" t="s">
        <v>685</v>
      </c>
      <c r="P92" s="2"/>
      <c r="Q92" s="2" t="s">
        <v>686</v>
      </c>
    </row>
    <row r="93" customFormat="false" ht="35.05" hidden="false" customHeight="false" outlineLevel="0" collapsed="false">
      <c r="A93" s="2" t="s">
        <v>687</v>
      </c>
      <c r="B93" s="2" t="s">
        <v>34</v>
      </c>
      <c r="C93" s="2" t="s">
        <v>639</v>
      </c>
      <c r="D93" s="2" t="s">
        <v>688</v>
      </c>
      <c r="E93" s="2" t="s">
        <v>689</v>
      </c>
      <c r="F93" s="2" t="s">
        <v>83</v>
      </c>
      <c r="G93" s="2" t="s">
        <v>59</v>
      </c>
      <c r="H93" s="2" t="s">
        <v>67</v>
      </c>
      <c r="I93" s="2" t="s">
        <v>120</v>
      </c>
      <c r="J93" s="2" t="s">
        <v>56</v>
      </c>
      <c r="K93" s="2" t="n">
        <v>0</v>
      </c>
      <c r="L93" s="11" t="n">
        <v>5</v>
      </c>
      <c r="M93" s="2" t="n">
        <f aca="false">K93+L93</f>
        <v>5</v>
      </c>
      <c r="N93" s="2" t="s">
        <v>690</v>
      </c>
      <c r="O93" s="2" t="s">
        <v>691</v>
      </c>
      <c r="P93" s="2"/>
      <c r="Q93" s="2" t="s">
        <v>692</v>
      </c>
    </row>
    <row r="94" customFormat="false" ht="35.05" hidden="false" customHeight="false" outlineLevel="0" collapsed="false">
      <c r="A94" s="2" t="s">
        <v>693</v>
      </c>
      <c r="B94" s="2" t="s">
        <v>34</v>
      </c>
      <c r="C94" s="2" t="s">
        <v>694</v>
      </c>
      <c r="D94" s="2" t="s">
        <v>695</v>
      </c>
      <c r="E94" s="2" t="s">
        <v>696</v>
      </c>
      <c r="F94" s="2" t="s">
        <v>94</v>
      </c>
      <c r="G94" s="2" t="s">
        <v>59</v>
      </c>
      <c r="H94" s="2" t="s">
        <v>72</v>
      </c>
      <c r="I94" s="2" t="s">
        <v>120</v>
      </c>
      <c r="J94" s="2" t="s">
        <v>56</v>
      </c>
      <c r="K94" s="2" t="n">
        <v>0</v>
      </c>
      <c r="L94" s="11" t="n">
        <v>6</v>
      </c>
      <c r="M94" s="2" t="n">
        <f aca="false">K94+L94</f>
        <v>6</v>
      </c>
      <c r="N94" s="2" t="s">
        <v>697</v>
      </c>
      <c r="O94" s="2" t="s">
        <v>698</v>
      </c>
      <c r="P94" s="2"/>
      <c r="Q94" s="2" t="s">
        <v>699</v>
      </c>
    </row>
    <row r="95" customFormat="false" ht="23.85" hidden="false" customHeight="false" outlineLevel="0" collapsed="false">
      <c r="A95" s="2" t="s">
        <v>700</v>
      </c>
      <c r="B95" s="2" t="s">
        <v>34</v>
      </c>
      <c r="C95" s="2" t="s">
        <v>618</v>
      </c>
      <c r="D95" s="2" t="s">
        <v>701</v>
      </c>
      <c r="E95" s="2" t="s">
        <v>702</v>
      </c>
      <c r="F95" s="2" t="s">
        <v>83</v>
      </c>
      <c r="G95" s="2" t="s">
        <v>59</v>
      </c>
      <c r="H95" s="2" t="s">
        <v>76</v>
      </c>
      <c r="I95" s="2" t="s">
        <v>447</v>
      </c>
      <c r="J95" s="2" t="s">
        <v>57</v>
      </c>
      <c r="K95" s="2" t="n">
        <v>1</v>
      </c>
      <c r="L95" s="11" t="n">
        <v>0</v>
      </c>
      <c r="M95" s="2" t="n">
        <f aca="false">K95+L95</f>
        <v>1</v>
      </c>
      <c r="N95" s="2" t="s">
        <v>621</v>
      </c>
      <c r="O95" s="2" t="s">
        <v>703</v>
      </c>
      <c r="P95" s="2" t="s">
        <v>704</v>
      </c>
      <c r="Q95" s="2" t="s">
        <v>705</v>
      </c>
    </row>
    <row r="96" customFormat="false" ht="35.05" hidden="false" customHeight="false" outlineLevel="0" collapsed="false">
      <c r="A96" s="2" t="s">
        <v>706</v>
      </c>
      <c r="B96" s="2" t="s">
        <v>34</v>
      </c>
      <c r="C96" s="2" t="s">
        <v>639</v>
      </c>
      <c r="D96" s="2" t="s">
        <v>707</v>
      </c>
      <c r="E96" s="2" t="s">
        <v>708</v>
      </c>
      <c r="F96" s="2" t="s">
        <v>83</v>
      </c>
      <c r="G96" s="2" t="s">
        <v>60</v>
      </c>
      <c r="H96" s="2" t="s">
        <v>72</v>
      </c>
      <c r="I96" s="2" t="s">
        <v>120</v>
      </c>
      <c r="J96" s="2" t="s">
        <v>56</v>
      </c>
      <c r="K96" s="2" t="n">
        <v>0</v>
      </c>
      <c r="L96" s="11" t="n">
        <v>5</v>
      </c>
      <c r="M96" s="2" t="n">
        <f aca="false">K96+L96</f>
        <v>5</v>
      </c>
      <c r="N96" s="2" t="s">
        <v>709</v>
      </c>
      <c r="O96" s="2" t="s">
        <v>710</v>
      </c>
      <c r="P96" s="2"/>
      <c r="Q96" s="2" t="s">
        <v>711</v>
      </c>
    </row>
    <row r="97" customFormat="false" ht="35.05" hidden="false" customHeight="false" outlineLevel="0" collapsed="false">
      <c r="A97" s="2" t="s">
        <v>712</v>
      </c>
      <c r="B97" s="2" t="s">
        <v>34</v>
      </c>
      <c r="C97" s="2" t="s">
        <v>639</v>
      </c>
      <c r="D97" s="2" t="s">
        <v>713</v>
      </c>
      <c r="E97" s="2" t="s">
        <v>714</v>
      </c>
      <c r="F97" s="2" t="s">
        <v>83</v>
      </c>
      <c r="G97" s="2" t="s">
        <v>60</v>
      </c>
      <c r="H97" s="2" t="s">
        <v>76</v>
      </c>
      <c r="I97" s="2" t="s">
        <v>391</v>
      </c>
      <c r="J97" s="2" t="s">
        <v>55</v>
      </c>
      <c r="K97" s="2" t="n">
        <v>0</v>
      </c>
      <c r="L97" s="11" t="n">
        <v>8</v>
      </c>
      <c r="M97" s="2" t="n">
        <f aca="false">K97+L97</f>
        <v>8</v>
      </c>
      <c r="N97" s="2" t="s">
        <v>715</v>
      </c>
      <c r="O97" s="2" t="s">
        <v>716</v>
      </c>
      <c r="P97" s="2"/>
      <c r="Q97" s="2" t="s">
        <v>717</v>
      </c>
    </row>
    <row r="98" customFormat="false" ht="46.25" hidden="false" customHeight="false" outlineLevel="0" collapsed="false">
      <c r="A98" s="2" t="s">
        <v>718</v>
      </c>
      <c r="B98" s="2" t="s">
        <v>34</v>
      </c>
      <c r="C98" s="2" t="s">
        <v>639</v>
      </c>
      <c r="D98" s="2" t="s">
        <v>719</v>
      </c>
      <c r="E98" s="2" t="s">
        <v>720</v>
      </c>
      <c r="F98" s="2" t="s">
        <v>83</v>
      </c>
      <c r="G98" s="2" t="s">
        <v>60</v>
      </c>
      <c r="H98" s="2" t="s">
        <v>76</v>
      </c>
      <c r="I98" s="2" t="s">
        <v>120</v>
      </c>
      <c r="J98" s="2" t="s">
        <v>56</v>
      </c>
      <c r="K98" s="2" t="n">
        <v>0</v>
      </c>
      <c r="L98" s="11" t="n">
        <v>5</v>
      </c>
      <c r="M98" s="2" t="n">
        <f aca="false">K98+L98</f>
        <v>5</v>
      </c>
      <c r="N98" s="2" t="s">
        <v>715</v>
      </c>
      <c r="O98" s="2" t="s">
        <v>721</v>
      </c>
      <c r="P98" s="2"/>
      <c r="Q98" s="2" t="s">
        <v>722</v>
      </c>
    </row>
    <row r="99" customFormat="false" ht="23.85" hidden="false" customHeight="false" outlineLevel="0" collapsed="false">
      <c r="A99" s="2" t="s">
        <v>723</v>
      </c>
      <c r="B99" s="2" t="s">
        <v>34</v>
      </c>
      <c r="C99" s="2" t="s">
        <v>597</v>
      </c>
      <c r="D99" s="2" t="s">
        <v>724</v>
      </c>
      <c r="E99" s="2" t="s">
        <v>725</v>
      </c>
      <c r="F99" s="2" t="s">
        <v>83</v>
      </c>
      <c r="G99" s="2" t="s">
        <v>63</v>
      </c>
      <c r="H99" s="2" t="s">
        <v>71</v>
      </c>
      <c r="I99" s="2" t="s">
        <v>357</v>
      </c>
      <c r="J99" s="2" t="s">
        <v>56</v>
      </c>
      <c r="K99" s="2" t="n">
        <v>1</v>
      </c>
      <c r="L99" s="11" t="n">
        <v>2</v>
      </c>
      <c r="M99" s="2" t="n">
        <f aca="false">K99+L99</f>
        <v>3</v>
      </c>
      <c r="N99" s="2" t="s">
        <v>726</v>
      </c>
      <c r="O99" s="2" t="s">
        <v>727</v>
      </c>
      <c r="P99" s="2" t="s">
        <v>543</v>
      </c>
      <c r="Q99" s="2" t="s">
        <v>728</v>
      </c>
    </row>
    <row r="100" customFormat="false" ht="23.85" hidden="false" customHeight="false" outlineLevel="0" collapsed="false">
      <c r="A100" s="2" t="s">
        <v>729</v>
      </c>
      <c r="B100" s="2" t="s">
        <v>34</v>
      </c>
      <c r="C100" s="2" t="s">
        <v>639</v>
      </c>
      <c r="D100" s="2" t="s">
        <v>730</v>
      </c>
      <c r="E100" s="2" t="s">
        <v>731</v>
      </c>
      <c r="F100" s="2" t="s">
        <v>83</v>
      </c>
      <c r="G100" s="2" t="s">
        <v>65</v>
      </c>
      <c r="H100" s="2" t="s">
        <v>71</v>
      </c>
      <c r="I100" s="2" t="s">
        <v>120</v>
      </c>
      <c r="J100" s="2" t="s">
        <v>56</v>
      </c>
      <c r="K100" s="2" t="n">
        <v>0</v>
      </c>
      <c r="L100" s="11" t="n">
        <v>3</v>
      </c>
      <c r="M100" s="2" t="n">
        <f aca="false">K100+L100</f>
        <v>3</v>
      </c>
      <c r="N100" s="2" t="s">
        <v>715</v>
      </c>
      <c r="O100" s="2" t="s">
        <v>732</v>
      </c>
      <c r="P100" s="2"/>
      <c r="Q100" s="2" t="s">
        <v>733</v>
      </c>
    </row>
    <row r="101" customFormat="false" ht="57.45" hidden="false" customHeight="false" outlineLevel="0" collapsed="false">
      <c r="A101" s="2" t="s">
        <v>734</v>
      </c>
      <c r="B101" s="2" t="s">
        <v>34</v>
      </c>
      <c r="C101" s="2" t="s">
        <v>597</v>
      </c>
      <c r="D101" s="2" t="s">
        <v>735</v>
      </c>
      <c r="E101" s="2" t="s">
        <v>736</v>
      </c>
      <c r="F101" s="2" t="s">
        <v>83</v>
      </c>
      <c r="G101" s="2" t="s">
        <v>63</v>
      </c>
      <c r="H101" s="2" t="s">
        <v>71</v>
      </c>
      <c r="I101" s="2" t="s">
        <v>357</v>
      </c>
      <c r="J101" s="2" t="s">
        <v>56</v>
      </c>
      <c r="K101" s="2" t="n">
        <v>1</v>
      </c>
      <c r="L101" s="11" t="n">
        <v>3</v>
      </c>
      <c r="M101" s="2" t="n">
        <f aca="false">K101+L101</f>
        <v>4</v>
      </c>
      <c r="N101" s="2" t="s">
        <v>726</v>
      </c>
      <c r="O101" s="2" t="s">
        <v>737</v>
      </c>
      <c r="P101" s="2" t="s">
        <v>738</v>
      </c>
      <c r="Q101" s="2" t="s">
        <v>739</v>
      </c>
    </row>
    <row r="102" customFormat="false" ht="23.85" hidden="false" customHeight="false" outlineLevel="0" collapsed="false">
      <c r="A102" s="2" t="s">
        <v>740</v>
      </c>
      <c r="B102" s="2" t="s">
        <v>34</v>
      </c>
      <c r="C102" s="2" t="s">
        <v>741</v>
      </c>
      <c r="D102" s="2" t="s">
        <v>742</v>
      </c>
      <c r="E102" s="2" t="s">
        <v>743</v>
      </c>
      <c r="F102" s="2" t="s">
        <v>94</v>
      </c>
      <c r="G102" s="2" t="s">
        <v>63</v>
      </c>
      <c r="H102" s="2" t="s">
        <v>72</v>
      </c>
      <c r="I102" s="2" t="s">
        <v>357</v>
      </c>
      <c r="J102" s="2" t="s">
        <v>56</v>
      </c>
      <c r="K102" s="2" t="n">
        <v>1</v>
      </c>
      <c r="L102" s="11" t="n">
        <v>4</v>
      </c>
      <c r="M102" s="2" t="n">
        <f aca="false">K102+L102</f>
        <v>5</v>
      </c>
      <c r="N102" s="2" t="s">
        <v>744</v>
      </c>
      <c r="O102" s="2" t="s">
        <v>745</v>
      </c>
      <c r="P102" s="2" t="s">
        <v>746</v>
      </c>
      <c r="Q102" s="2" t="s">
        <v>747</v>
      </c>
    </row>
    <row r="103" customFormat="false" ht="35.05" hidden="false" customHeight="false" outlineLevel="0" collapsed="false">
      <c r="A103" s="2" t="s">
        <v>748</v>
      </c>
      <c r="B103" s="2" t="s">
        <v>34</v>
      </c>
      <c r="C103" s="2" t="s">
        <v>639</v>
      </c>
      <c r="D103" s="2" t="s">
        <v>749</v>
      </c>
      <c r="E103" s="2" t="s">
        <v>750</v>
      </c>
      <c r="F103" s="2" t="s">
        <v>83</v>
      </c>
      <c r="G103" s="2" t="s">
        <v>61</v>
      </c>
      <c r="H103" s="2" t="s">
        <v>74</v>
      </c>
      <c r="I103" s="2" t="s">
        <v>391</v>
      </c>
      <c r="J103" s="2" t="s">
        <v>55</v>
      </c>
      <c r="K103" s="2" t="n">
        <v>0</v>
      </c>
      <c r="L103" s="11" t="n">
        <v>3</v>
      </c>
      <c r="M103" s="2" t="n">
        <f aca="false">K103+L103</f>
        <v>3</v>
      </c>
      <c r="N103" s="2" t="s">
        <v>751</v>
      </c>
      <c r="O103" s="2" t="s">
        <v>653</v>
      </c>
      <c r="P103" s="2"/>
      <c r="Q103" s="2" t="s">
        <v>752</v>
      </c>
    </row>
    <row r="104" customFormat="false" ht="15" hidden="false" customHeight="false" outlineLevel="0" collapsed="false">
      <c r="A104" s="2" t="s">
        <v>753</v>
      </c>
      <c r="B104" s="2" t="s">
        <v>34</v>
      </c>
      <c r="C104" s="2" t="s">
        <v>618</v>
      </c>
      <c r="D104" s="2" t="s">
        <v>754</v>
      </c>
      <c r="E104" s="2" t="s">
        <v>755</v>
      </c>
      <c r="F104" s="2" t="s">
        <v>84</v>
      </c>
      <c r="G104" s="2" t="s">
        <v>60</v>
      </c>
      <c r="H104" s="2" t="s">
        <v>76</v>
      </c>
      <c r="I104" s="2" t="s">
        <v>447</v>
      </c>
      <c r="J104" s="2" t="s">
        <v>57</v>
      </c>
      <c r="K104" s="2" t="n">
        <v>1</v>
      </c>
      <c r="L104" s="11" t="n">
        <v>0</v>
      </c>
      <c r="M104" s="2" t="n">
        <f aca="false">K104+L104</f>
        <v>1</v>
      </c>
      <c r="N104" s="2" t="s">
        <v>621</v>
      </c>
      <c r="O104" s="2" t="s">
        <v>756</v>
      </c>
      <c r="P104" s="2" t="s">
        <v>757</v>
      </c>
      <c r="Q104" s="2" t="s">
        <v>758</v>
      </c>
    </row>
    <row r="105" customFormat="false" ht="35.05" hidden="false" customHeight="false" outlineLevel="0" collapsed="false">
      <c r="A105" s="2" t="s">
        <v>759</v>
      </c>
      <c r="B105" s="2" t="s">
        <v>34</v>
      </c>
      <c r="C105" s="2" t="s">
        <v>760</v>
      </c>
      <c r="D105" s="2" t="s">
        <v>761</v>
      </c>
      <c r="E105" s="2" t="s">
        <v>762</v>
      </c>
      <c r="F105" s="2" t="s">
        <v>84</v>
      </c>
      <c r="G105" s="2" t="s">
        <v>61</v>
      </c>
      <c r="H105" s="2" t="s">
        <v>67</v>
      </c>
      <c r="I105" s="2" t="s">
        <v>357</v>
      </c>
      <c r="J105" s="2" t="s">
        <v>55</v>
      </c>
      <c r="K105" s="2" t="n">
        <v>2</v>
      </c>
      <c r="L105" s="11" t="n">
        <v>4</v>
      </c>
      <c r="M105" s="2" t="n">
        <f aca="false">K105+L105</f>
        <v>6</v>
      </c>
      <c r="N105" s="2" t="s">
        <v>763</v>
      </c>
      <c r="O105" s="2" t="s">
        <v>764</v>
      </c>
      <c r="P105" s="2" t="s">
        <v>765</v>
      </c>
      <c r="Q105" s="2" t="s">
        <v>766</v>
      </c>
    </row>
    <row r="106" customFormat="false" ht="46.25" hidden="false" customHeight="false" outlineLevel="0" collapsed="false">
      <c r="A106" s="2" t="s">
        <v>767</v>
      </c>
      <c r="B106" s="2" t="s">
        <v>34</v>
      </c>
      <c r="C106" s="2" t="s">
        <v>760</v>
      </c>
      <c r="D106" s="2" t="s">
        <v>768</v>
      </c>
      <c r="E106" s="2" t="s">
        <v>769</v>
      </c>
      <c r="F106" s="2" t="s">
        <v>84</v>
      </c>
      <c r="G106" s="2" t="s">
        <v>61</v>
      </c>
      <c r="H106" s="2" t="s">
        <v>74</v>
      </c>
      <c r="I106" s="2" t="s">
        <v>357</v>
      </c>
      <c r="J106" s="2" t="s">
        <v>56</v>
      </c>
      <c r="K106" s="2" t="n">
        <v>1</v>
      </c>
      <c r="L106" s="11" t="n">
        <v>2</v>
      </c>
      <c r="M106" s="2" t="n">
        <f aca="false">K106+L106</f>
        <v>3</v>
      </c>
      <c r="N106" s="2" t="s">
        <v>763</v>
      </c>
      <c r="O106" s="2" t="s">
        <v>770</v>
      </c>
      <c r="P106" s="2" t="s">
        <v>771</v>
      </c>
      <c r="Q106" s="2" t="s">
        <v>772</v>
      </c>
    </row>
    <row r="107" customFormat="false" ht="57.45" hidden="false" customHeight="false" outlineLevel="0" collapsed="false">
      <c r="A107" s="2" t="s">
        <v>773</v>
      </c>
      <c r="B107" s="2" t="s">
        <v>34</v>
      </c>
      <c r="C107" s="2" t="s">
        <v>760</v>
      </c>
      <c r="D107" s="2" t="s">
        <v>774</v>
      </c>
      <c r="E107" s="2" t="s">
        <v>775</v>
      </c>
      <c r="F107" s="2" t="s">
        <v>84</v>
      </c>
      <c r="G107" s="2" t="s">
        <v>62</v>
      </c>
      <c r="H107" s="2" t="s">
        <v>76</v>
      </c>
      <c r="I107" s="2" t="s">
        <v>357</v>
      </c>
      <c r="J107" s="2" t="s">
        <v>56</v>
      </c>
      <c r="K107" s="2" t="n">
        <v>2</v>
      </c>
      <c r="L107" s="11" t="n">
        <v>6</v>
      </c>
      <c r="M107" s="2" t="n">
        <f aca="false">K107+L107</f>
        <v>8</v>
      </c>
      <c r="N107" s="2" t="s">
        <v>776</v>
      </c>
      <c r="O107" s="2" t="s">
        <v>777</v>
      </c>
      <c r="P107" s="2" t="s">
        <v>778</v>
      </c>
      <c r="Q107" s="2" t="s">
        <v>779</v>
      </c>
    </row>
    <row r="108" customFormat="false" ht="46.25" hidden="false" customHeight="false" outlineLevel="0" collapsed="false">
      <c r="A108" s="2" t="s">
        <v>780</v>
      </c>
      <c r="B108" s="2" t="s">
        <v>34</v>
      </c>
      <c r="C108" s="2" t="s">
        <v>781</v>
      </c>
      <c r="D108" s="2" t="s">
        <v>782</v>
      </c>
      <c r="E108" s="2" t="s">
        <v>783</v>
      </c>
      <c r="F108" s="2" t="s">
        <v>84</v>
      </c>
      <c r="G108" s="2" t="s">
        <v>62</v>
      </c>
      <c r="H108" s="2" t="s">
        <v>76</v>
      </c>
      <c r="I108" s="2" t="s">
        <v>120</v>
      </c>
      <c r="J108" s="2" t="s">
        <v>55</v>
      </c>
      <c r="K108" s="2" t="n">
        <v>0</v>
      </c>
      <c r="L108" s="11" t="n">
        <v>7</v>
      </c>
      <c r="M108" s="2" t="n">
        <f aca="false">K108+L108</f>
        <v>7</v>
      </c>
      <c r="N108" s="2" t="s">
        <v>784</v>
      </c>
      <c r="O108" s="2" t="s">
        <v>785</v>
      </c>
      <c r="P108" s="2"/>
      <c r="Q108" s="2" t="s">
        <v>786</v>
      </c>
    </row>
    <row r="109" customFormat="false" ht="23.85" hidden="false" customHeight="false" outlineLevel="0" collapsed="false">
      <c r="A109" s="2" t="s">
        <v>787</v>
      </c>
      <c r="B109" s="2" t="s">
        <v>34</v>
      </c>
      <c r="C109" s="2" t="s">
        <v>781</v>
      </c>
      <c r="D109" s="2" t="s">
        <v>788</v>
      </c>
      <c r="E109" s="2" t="s">
        <v>789</v>
      </c>
      <c r="F109" s="2" t="s">
        <v>84</v>
      </c>
      <c r="G109" s="2" t="s">
        <v>63</v>
      </c>
      <c r="H109" s="2" t="s">
        <v>69</v>
      </c>
      <c r="I109" s="2" t="s">
        <v>120</v>
      </c>
      <c r="J109" s="2" t="s">
        <v>55</v>
      </c>
      <c r="K109" s="2" t="n">
        <v>0</v>
      </c>
      <c r="L109" s="11" t="n">
        <v>7</v>
      </c>
      <c r="M109" s="2" t="n">
        <f aca="false">K109+L109</f>
        <v>7</v>
      </c>
      <c r="N109" s="2" t="s">
        <v>790</v>
      </c>
      <c r="O109" s="2" t="s">
        <v>791</v>
      </c>
      <c r="P109" s="2"/>
      <c r="Q109" s="2" t="s">
        <v>792</v>
      </c>
    </row>
    <row r="110" customFormat="false" ht="23.85" hidden="false" customHeight="false" outlineLevel="0" collapsed="false">
      <c r="A110" s="2" t="s">
        <v>793</v>
      </c>
      <c r="B110" s="2" t="s">
        <v>34</v>
      </c>
      <c r="C110" s="2" t="s">
        <v>760</v>
      </c>
      <c r="D110" s="2" t="s">
        <v>794</v>
      </c>
      <c r="E110" s="2" t="s">
        <v>795</v>
      </c>
      <c r="F110" s="2" t="s">
        <v>84</v>
      </c>
      <c r="G110" s="2" t="s">
        <v>62</v>
      </c>
      <c r="H110" s="2" t="s">
        <v>73</v>
      </c>
      <c r="I110" s="2" t="s">
        <v>357</v>
      </c>
      <c r="J110" s="2" t="s">
        <v>56</v>
      </c>
      <c r="K110" s="2" t="n">
        <v>1</v>
      </c>
      <c r="L110" s="11" t="n">
        <v>4</v>
      </c>
      <c r="M110" s="2" t="n">
        <f aca="false">K110+L110</f>
        <v>5</v>
      </c>
      <c r="N110" s="2" t="s">
        <v>796</v>
      </c>
      <c r="O110" s="2" t="s">
        <v>797</v>
      </c>
      <c r="P110" s="2" t="s">
        <v>798</v>
      </c>
      <c r="Q110" s="2" t="s">
        <v>799</v>
      </c>
    </row>
    <row r="111" customFormat="false" ht="46.25" hidden="false" customHeight="false" outlineLevel="0" collapsed="false">
      <c r="A111" s="2" t="s">
        <v>800</v>
      </c>
      <c r="B111" s="2" t="s">
        <v>34</v>
      </c>
      <c r="C111" s="2" t="s">
        <v>760</v>
      </c>
      <c r="D111" s="2" t="s">
        <v>801</v>
      </c>
      <c r="E111" s="2" t="s">
        <v>802</v>
      </c>
      <c r="F111" s="2" t="s">
        <v>96</v>
      </c>
      <c r="G111" s="2" t="s">
        <v>59</v>
      </c>
      <c r="H111" s="2" t="s">
        <v>73</v>
      </c>
      <c r="I111" s="2" t="s">
        <v>120</v>
      </c>
      <c r="J111" s="2" t="s">
        <v>55</v>
      </c>
      <c r="K111" s="2" t="n">
        <v>0</v>
      </c>
      <c r="L111" s="11" t="n">
        <v>5</v>
      </c>
      <c r="M111" s="2" t="n">
        <f aca="false">K111+L111</f>
        <v>5</v>
      </c>
      <c r="N111" s="2" t="s">
        <v>803</v>
      </c>
      <c r="O111" s="2" t="s">
        <v>804</v>
      </c>
      <c r="P111" s="2"/>
      <c r="Q111" s="2" t="s">
        <v>805</v>
      </c>
    </row>
    <row r="112" customFormat="false" ht="35.05" hidden="false" customHeight="false" outlineLevel="0" collapsed="false">
      <c r="A112" s="2" t="s">
        <v>806</v>
      </c>
      <c r="B112" s="2" t="s">
        <v>34</v>
      </c>
      <c r="C112" s="2" t="s">
        <v>781</v>
      </c>
      <c r="D112" s="2" t="s">
        <v>807</v>
      </c>
      <c r="E112" s="2" t="s">
        <v>808</v>
      </c>
      <c r="F112" s="2" t="s">
        <v>84</v>
      </c>
      <c r="G112" s="2" t="s">
        <v>59</v>
      </c>
      <c r="H112" s="2" t="s">
        <v>72</v>
      </c>
      <c r="I112" s="2" t="s">
        <v>391</v>
      </c>
      <c r="J112" s="2" t="s">
        <v>55</v>
      </c>
      <c r="K112" s="2" t="n">
        <v>0</v>
      </c>
      <c r="L112" s="11" t="n">
        <v>10</v>
      </c>
      <c r="M112" s="2" t="n">
        <f aca="false">K112+L112</f>
        <v>10</v>
      </c>
      <c r="N112" s="2" t="s">
        <v>809</v>
      </c>
      <c r="O112" s="2" t="s">
        <v>810</v>
      </c>
      <c r="P112" s="2"/>
      <c r="Q112" s="2" t="s">
        <v>811</v>
      </c>
    </row>
    <row r="113" customFormat="false" ht="35.05" hidden="false" customHeight="false" outlineLevel="0" collapsed="false">
      <c r="A113" s="2" t="s">
        <v>812</v>
      </c>
      <c r="B113" s="2" t="s">
        <v>34</v>
      </c>
      <c r="C113" s="2" t="s">
        <v>760</v>
      </c>
      <c r="D113" s="2" t="s">
        <v>813</v>
      </c>
      <c r="E113" s="2" t="s">
        <v>814</v>
      </c>
      <c r="F113" s="2" t="s">
        <v>96</v>
      </c>
      <c r="G113" s="2" t="s">
        <v>64</v>
      </c>
      <c r="H113" s="2" t="s">
        <v>72</v>
      </c>
      <c r="I113" s="2" t="s">
        <v>357</v>
      </c>
      <c r="J113" s="2" t="s">
        <v>56</v>
      </c>
      <c r="K113" s="2" t="n">
        <v>1</v>
      </c>
      <c r="L113" s="11" t="n">
        <v>4</v>
      </c>
      <c r="M113" s="2" t="n">
        <f aca="false">K113+L113</f>
        <v>5</v>
      </c>
      <c r="N113" s="2" t="s">
        <v>815</v>
      </c>
      <c r="O113" s="2" t="s">
        <v>816</v>
      </c>
      <c r="P113" s="2" t="s">
        <v>817</v>
      </c>
      <c r="Q113" s="2" t="s">
        <v>818</v>
      </c>
    </row>
    <row r="114" customFormat="false" ht="15" hidden="false" customHeight="false" outlineLevel="0" collapsed="false">
      <c r="A114" s="2" t="s">
        <v>819</v>
      </c>
      <c r="B114" s="2" t="s">
        <v>34</v>
      </c>
      <c r="C114" s="2" t="s">
        <v>781</v>
      </c>
      <c r="D114" s="2" t="s">
        <v>820</v>
      </c>
      <c r="E114" s="2" t="s">
        <v>821</v>
      </c>
      <c r="F114" s="2" t="s">
        <v>84</v>
      </c>
      <c r="G114" s="2" t="s">
        <v>64</v>
      </c>
      <c r="H114" s="2" t="s">
        <v>72</v>
      </c>
      <c r="I114" s="2" t="s">
        <v>120</v>
      </c>
      <c r="J114" s="2" t="s">
        <v>56</v>
      </c>
      <c r="K114" s="2" t="n">
        <v>0</v>
      </c>
      <c r="L114" s="11" t="n">
        <v>4</v>
      </c>
      <c r="M114" s="2" t="n">
        <f aca="false">K114+L114</f>
        <v>4</v>
      </c>
      <c r="N114" s="2" t="s">
        <v>822</v>
      </c>
      <c r="O114" s="2" t="s">
        <v>823</v>
      </c>
      <c r="P114" s="2"/>
      <c r="Q114" s="2" t="s">
        <v>824</v>
      </c>
    </row>
    <row r="115" customFormat="false" ht="23.85" hidden="false" customHeight="false" outlineLevel="0" collapsed="false">
      <c r="A115" s="2" t="s">
        <v>825</v>
      </c>
      <c r="B115" s="2" t="s">
        <v>34</v>
      </c>
      <c r="C115" s="2" t="s">
        <v>760</v>
      </c>
      <c r="D115" s="2" t="s">
        <v>826</v>
      </c>
      <c r="E115" s="2" t="s">
        <v>827</v>
      </c>
      <c r="F115" s="2" t="s">
        <v>84</v>
      </c>
      <c r="G115" s="2" t="s">
        <v>60</v>
      </c>
      <c r="H115" s="2" t="s">
        <v>72</v>
      </c>
      <c r="I115" s="2" t="s">
        <v>357</v>
      </c>
      <c r="J115" s="2" t="s">
        <v>56</v>
      </c>
      <c r="K115" s="2" t="n">
        <v>1</v>
      </c>
      <c r="L115" s="11" t="n">
        <v>5</v>
      </c>
      <c r="M115" s="2" t="n">
        <f aca="false">K115+L115</f>
        <v>6</v>
      </c>
      <c r="N115" s="2" t="s">
        <v>815</v>
      </c>
      <c r="O115" s="2" t="s">
        <v>828</v>
      </c>
      <c r="P115" s="2" t="s">
        <v>829</v>
      </c>
      <c r="Q115" s="2" t="s">
        <v>830</v>
      </c>
    </row>
    <row r="116" customFormat="false" ht="23.85" hidden="false" customHeight="false" outlineLevel="0" collapsed="false">
      <c r="A116" s="2" t="s">
        <v>831</v>
      </c>
      <c r="B116" s="2" t="s">
        <v>34</v>
      </c>
      <c r="C116" s="2" t="s">
        <v>781</v>
      </c>
      <c r="D116" s="2" t="s">
        <v>832</v>
      </c>
      <c r="E116" s="2" t="s">
        <v>833</v>
      </c>
      <c r="F116" s="2" t="s">
        <v>84</v>
      </c>
      <c r="G116" s="2" t="s">
        <v>60</v>
      </c>
      <c r="H116" s="2" t="s">
        <v>67</v>
      </c>
      <c r="I116" s="2" t="s">
        <v>120</v>
      </c>
      <c r="J116" s="2" t="s">
        <v>56</v>
      </c>
      <c r="K116" s="2" t="n">
        <v>0</v>
      </c>
      <c r="L116" s="11" t="n">
        <v>3</v>
      </c>
      <c r="M116" s="2" t="n">
        <f aca="false">K116+L116</f>
        <v>3</v>
      </c>
      <c r="N116" s="2" t="s">
        <v>822</v>
      </c>
      <c r="O116" s="2" t="s">
        <v>834</v>
      </c>
      <c r="P116" s="2"/>
      <c r="Q116" s="2" t="s">
        <v>835</v>
      </c>
    </row>
    <row r="117" customFormat="false" ht="35.05" hidden="false" customHeight="false" outlineLevel="0" collapsed="false">
      <c r="A117" s="2" t="s">
        <v>836</v>
      </c>
      <c r="B117" s="2" t="s">
        <v>34</v>
      </c>
      <c r="C117" s="2" t="s">
        <v>781</v>
      </c>
      <c r="D117" s="2" t="s">
        <v>837</v>
      </c>
      <c r="E117" s="2" t="s">
        <v>838</v>
      </c>
      <c r="F117" s="2" t="s">
        <v>84</v>
      </c>
      <c r="G117" s="2" t="s">
        <v>60</v>
      </c>
      <c r="H117" s="2" t="s">
        <v>72</v>
      </c>
      <c r="I117" s="2" t="s">
        <v>120</v>
      </c>
      <c r="J117" s="2" t="s">
        <v>56</v>
      </c>
      <c r="K117" s="2" t="n">
        <v>0</v>
      </c>
      <c r="L117" s="11" t="n">
        <v>5</v>
      </c>
      <c r="M117" s="2" t="n">
        <f aca="false">K117+L117</f>
        <v>5</v>
      </c>
      <c r="N117" s="2" t="s">
        <v>822</v>
      </c>
      <c r="O117" s="2" t="s">
        <v>839</v>
      </c>
      <c r="P117" s="2"/>
      <c r="Q117" s="2" t="s">
        <v>840</v>
      </c>
    </row>
    <row r="118" customFormat="false" ht="15" hidden="false" customHeight="false" outlineLevel="0" collapsed="false">
      <c r="A118" s="2" t="s">
        <v>841</v>
      </c>
      <c r="B118" s="2" t="s">
        <v>34</v>
      </c>
      <c r="C118" s="2" t="s">
        <v>781</v>
      </c>
      <c r="D118" s="2" t="s">
        <v>842</v>
      </c>
      <c r="E118" s="2" t="s">
        <v>843</v>
      </c>
      <c r="F118" s="2" t="s">
        <v>84</v>
      </c>
      <c r="G118" s="2" t="s">
        <v>60</v>
      </c>
      <c r="H118" s="2" t="s">
        <v>72</v>
      </c>
      <c r="I118" s="2" t="s">
        <v>120</v>
      </c>
      <c r="J118" s="2" t="s">
        <v>56</v>
      </c>
      <c r="K118" s="2" t="n">
        <v>0</v>
      </c>
      <c r="L118" s="11" t="n">
        <v>5</v>
      </c>
      <c r="M118" s="2" t="n">
        <f aca="false">K118+L118</f>
        <v>5</v>
      </c>
      <c r="N118" s="2" t="s">
        <v>809</v>
      </c>
      <c r="O118" s="2" t="s">
        <v>844</v>
      </c>
      <c r="P118" s="2"/>
      <c r="Q118" s="2" t="s">
        <v>845</v>
      </c>
    </row>
    <row r="119" customFormat="false" ht="23.85" hidden="false" customHeight="false" outlineLevel="0" collapsed="false">
      <c r="A119" s="2" t="s">
        <v>846</v>
      </c>
      <c r="B119" s="2" t="s">
        <v>34</v>
      </c>
      <c r="C119" s="2" t="s">
        <v>781</v>
      </c>
      <c r="D119" s="2" t="s">
        <v>847</v>
      </c>
      <c r="E119" s="2" t="s">
        <v>848</v>
      </c>
      <c r="F119" s="2" t="s">
        <v>84</v>
      </c>
      <c r="G119" s="2" t="s">
        <v>60</v>
      </c>
      <c r="H119" s="2" t="s">
        <v>72</v>
      </c>
      <c r="I119" s="2" t="s">
        <v>391</v>
      </c>
      <c r="J119" s="2" t="s">
        <v>55</v>
      </c>
      <c r="K119" s="2" t="n">
        <v>0</v>
      </c>
      <c r="L119" s="11" t="n">
        <v>6</v>
      </c>
      <c r="M119" s="2" t="n">
        <f aca="false">K119+L119</f>
        <v>6</v>
      </c>
      <c r="N119" s="2" t="s">
        <v>809</v>
      </c>
      <c r="O119" s="2" t="s">
        <v>849</v>
      </c>
      <c r="P119" s="2"/>
      <c r="Q119" s="2" t="s">
        <v>850</v>
      </c>
    </row>
    <row r="120" customFormat="false" ht="23.85" hidden="false" customHeight="false" outlineLevel="0" collapsed="false">
      <c r="A120" s="2" t="s">
        <v>851</v>
      </c>
      <c r="B120" s="2" t="s">
        <v>34</v>
      </c>
      <c r="C120" s="2" t="s">
        <v>781</v>
      </c>
      <c r="D120" s="2" t="s">
        <v>852</v>
      </c>
      <c r="E120" s="2" t="s">
        <v>853</v>
      </c>
      <c r="F120" s="2" t="s">
        <v>84</v>
      </c>
      <c r="G120" s="2" t="s">
        <v>60</v>
      </c>
      <c r="H120" s="2" t="s">
        <v>69</v>
      </c>
      <c r="I120" s="2" t="s">
        <v>120</v>
      </c>
      <c r="J120" s="2" t="s">
        <v>56</v>
      </c>
      <c r="K120" s="2" t="n">
        <v>0</v>
      </c>
      <c r="L120" s="11" t="n">
        <v>7</v>
      </c>
      <c r="M120" s="2" t="n">
        <f aca="false">K120+L120</f>
        <v>7</v>
      </c>
      <c r="N120" s="2" t="s">
        <v>790</v>
      </c>
      <c r="O120" s="2" t="s">
        <v>854</v>
      </c>
      <c r="P120" s="2"/>
      <c r="Q120" s="2" t="s">
        <v>855</v>
      </c>
    </row>
    <row r="121" customFormat="false" ht="35.05" hidden="false" customHeight="false" outlineLevel="0" collapsed="false">
      <c r="A121" s="2" t="s">
        <v>856</v>
      </c>
      <c r="B121" s="2" t="s">
        <v>34</v>
      </c>
      <c r="C121" s="2" t="s">
        <v>760</v>
      </c>
      <c r="D121" s="2" t="s">
        <v>857</v>
      </c>
      <c r="E121" s="2" t="s">
        <v>858</v>
      </c>
      <c r="F121" s="2" t="s">
        <v>84</v>
      </c>
      <c r="G121" s="2" t="s">
        <v>61</v>
      </c>
      <c r="H121" s="2" t="s">
        <v>67</v>
      </c>
      <c r="I121" s="2" t="s">
        <v>357</v>
      </c>
      <c r="J121" s="2" t="s">
        <v>56</v>
      </c>
      <c r="K121" s="2" t="n">
        <v>2</v>
      </c>
      <c r="L121" s="11" t="n">
        <v>3</v>
      </c>
      <c r="M121" s="2" t="n">
        <f aca="false">K121+L121</f>
        <v>5</v>
      </c>
      <c r="N121" s="2" t="s">
        <v>763</v>
      </c>
      <c r="O121" s="2" t="s">
        <v>859</v>
      </c>
      <c r="P121" s="2" t="s">
        <v>860</v>
      </c>
      <c r="Q121" s="2" t="s">
        <v>861</v>
      </c>
    </row>
    <row r="122" customFormat="false" ht="23.85" hidden="false" customHeight="false" outlineLevel="0" collapsed="false">
      <c r="A122" s="2" t="s">
        <v>862</v>
      </c>
      <c r="B122" s="2" t="s">
        <v>34</v>
      </c>
      <c r="C122" s="2" t="s">
        <v>781</v>
      </c>
      <c r="D122" s="2" t="s">
        <v>863</v>
      </c>
      <c r="E122" s="2" t="s">
        <v>864</v>
      </c>
      <c r="F122" s="2" t="s">
        <v>84</v>
      </c>
      <c r="G122" s="2" t="s">
        <v>61</v>
      </c>
      <c r="H122" s="2" t="s">
        <v>72</v>
      </c>
      <c r="I122" s="2" t="s">
        <v>391</v>
      </c>
      <c r="J122" s="2" t="s">
        <v>55</v>
      </c>
      <c r="K122" s="2" t="n">
        <v>0</v>
      </c>
      <c r="L122" s="11" t="n">
        <v>6</v>
      </c>
      <c r="M122" s="2" t="n">
        <f aca="false">K122+L122</f>
        <v>6</v>
      </c>
      <c r="N122" s="2" t="s">
        <v>865</v>
      </c>
      <c r="O122" s="2" t="s">
        <v>866</v>
      </c>
      <c r="P122" s="2"/>
      <c r="Q122" s="2" t="s">
        <v>867</v>
      </c>
    </row>
    <row r="123" customFormat="false" ht="35.05" hidden="false" customHeight="false" outlineLevel="0" collapsed="false">
      <c r="A123" s="2" t="s">
        <v>868</v>
      </c>
      <c r="B123" s="2" t="s">
        <v>34</v>
      </c>
      <c r="C123" s="2" t="s">
        <v>760</v>
      </c>
      <c r="D123" s="2" t="s">
        <v>869</v>
      </c>
      <c r="E123" s="2" t="s">
        <v>870</v>
      </c>
      <c r="F123" s="2" t="s">
        <v>84</v>
      </c>
      <c r="G123" s="2" t="s">
        <v>61</v>
      </c>
      <c r="H123" s="2" t="s">
        <v>74</v>
      </c>
      <c r="I123" s="2" t="s">
        <v>357</v>
      </c>
      <c r="J123" s="2" t="s">
        <v>55</v>
      </c>
      <c r="K123" s="2" t="n">
        <v>3</v>
      </c>
      <c r="L123" s="11" t="n">
        <v>5</v>
      </c>
      <c r="M123" s="2" t="n">
        <f aca="false">K123+L123</f>
        <v>8</v>
      </c>
      <c r="N123" s="2" t="s">
        <v>763</v>
      </c>
      <c r="O123" s="2" t="s">
        <v>871</v>
      </c>
      <c r="P123" s="2" t="s">
        <v>872</v>
      </c>
      <c r="Q123" s="2" t="s">
        <v>873</v>
      </c>
    </row>
    <row r="124" customFormat="false" ht="23.85" hidden="false" customHeight="false" outlineLevel="0" collapsed="false">
      <c r="A124" s="2" t="s">
        <v>874</v>
      </c>
      <c r="B124" s="2" t="s">
        <v>34</v>
      </c>
      <c r="C124" s="2" t="s">
        <v>760</v>
      </c>
      <c r="D124" s="2" t="s">
        <v>875</v>
      </c>
      <c r="E124" s="2" t="s">
        <v>876</v>
      </c>
      <c r="F124" s="2" t="s">
        <v>96</v>
      </c>
      <c r="G124" s="2" t="s">
        <v>65</v>
      </c>
      <c r="H124" s="2" t="s">
        <v>72</v>
      </c>
      <c r="I124" s="2" t="s">
        <v>120</v>
      </c>
      <c r="J124" s="2" t="s">
        <v>56</v>
      </c>
      <c r="K124" s="2" t="n">
        <v>0</v>
      </c>
      <c r="L124" s="11" t="n">
        <v>4</v>
      </c>
      <c r="M124" s="2" t="n">
        <f aca="false">K124+L124</f>
        <v>4</v>
      </c>
      <c r="N124" s="2" t="s">
        <v>877</v>
      </c>
      <c r="O124" s="2" t="s">
        <v>878</v>
      </c>
      <c r="P124" s="2"/>
      <c r="Q124" s="2" t="s">
        <v>879</v>
      </c>
    </row>
    <row r="125" customFormat="false" ht="57.45" hidden="false" customHeight="false" outlineLevel="0" collapsed="false">
      <c r="A125" s="2" t="s">
        <v>880</v>
      </c>
      <c r="B125" s="2" t="s">
        <v>34</v>
      </c>
      <c r="C125" s="2" t="s">
        <v>618</v>
      </c>
      <c r="D125" s="2" t="s">
        <v>881</v>
      </c>
      <c r="E125" s="2" t="s">
        <v>882</v>
      </c>
      <c r="F125" s="2" t="s">
        <v>96</v>
      </c>
      <c r="G125" s="2" t="s">
        <v>61</v>
      </c>
      <c r="H125" s="2" t="s">
        <v>67</v>
      </c>
      <c r="I125" s="2" t="s">
        <v>357</v>
      </c>
      <c r="J125" s="2" t="s">
        <v>55</v>
      </c>
      <c r="K125" s="2" t="n">
        <v>1</v>
      </c>
      <c r="L125" s="11" t="n">
        <v>5</v>
      </c>
      <c r="M125" s="2" t="n">
        <f aca="false">K125+L125</f>
        <v>6</v>
      </c>
      <c r="N125" s="2" t="s">
        <v>883</v>
      </c>
      <c r="O125" s="2" t="s">
        <v>884</v>
      </c>
      <c r="P125" s="2" t="s">
        <v>885</v>
      </c>
      <c r="Q125" s="2" t="s">
        <v>886</v>
      </c>
    </row>
    <row r="126" customFormat="false" ht="35.05" hidden="false" customHeight="false" outlineLevel="0" collapsed="false">
      <c r="A126" s="2" t="s">
        <v>887</v>
      </c>
      <c r="B126" s="2" t="s">
        <v>34</v>
      </c>
      <c r="C126" s="2" t="s">
        <v>618</v>
      </c>
      <c r="D126" s="2" t="s">
        <v>888</v>
      </c>
      <c r="E126" s="2" t="s">
        <v>889</v>
      </c>
      <c r="F126" s="2" t="s">
        <v>85</v>
      </c>
      <c r="G126" s="2" t="s">
        <v>65</v>
      </c>
      <c r="H126" s="2" t="s">
        <v>72</v>
      </c>
      <c r="I126" s="2" t="s">
        <v>447</v>
      </c>
      <c r="J126" s="2" t="s">
        <v>57</v>
      </c>
      <c r="K126" s="2" t="n">
        <v>2</v>
      </c>
      <c r="L126" s="11" t="n">
        <v>0</v>
      </c>
      <c r="M126" s="2" t="n">
        <f aca="false">K126+L126</f>
        <v>2</v>
      </c>
      <c r="N126" s="2" t="s">
        <v>890</v>
      </c>
      <c r="O126" s="2" t="s">
        <v>891</v>
      </c>
      <c r="P126" s="2" t="s">
        <v>892</v>
      </c>
      <c r="Q126" s="2" t="s">
        <v>893</v>
      </c>
    </row>
    <row r="127" customFormat="false" ht="23.85" hidden="false" customHeight="false" outlineLevel="0" collapsed="false">
      <c r="A127" s="2" t="s">
        <v>894</v>
      </c>
      <c r="B127" s="2" t="s">
        <v>34</v>
      </c>
      <c r="C127" s="2" t="s">
        <v>618</v>
      </c>
      <c r="D127" s="2" t="s">
        <v>895</v>
      </c>
      <c r="E127" s="2" t="s">
        <v>896</v>
      </c>
      <c r="F127" s="2" t="s">
        <v>85</v>
      </c>
      <c r="G127" s="2" t="s">
        <v>61</v>
      </c>
      <c r="H127" s="2" t="s">
        <v>72</v>
      </c>
      <c r="I127" s="2" t="s">
        <v>357</v>
      </c>
      <c r="J127" s="2" t="s">
        <v>56</v>
      </c>
      <c r="K127" s="2" t="n">
        <v>2</v>
      </c>
      <c r="L127" s="11" t="n">
        <v>2</v>
      </c>
      <c r="M127" s="2" t="n">
        <f aca="false">K127+L127</f>
        <v>4</v>
      </c>
      <c r="N127" s="2" t="s">
        <v>890</v>
      </c>
      <c r="O127" s="2" t="s">
        <v>897</v>
      </c>
      <c r="P127" s="2" t="s">
        <v>898</v>
      </c>
      <c r="Q127" s="2" t="s">
        <v>899</v>
      </c>
    </row>
    <row r="128" customFormat="false" ht="23.85" hidden="false" customHeight="false" outlineLevel="0" collapsed="false">
      <c r="A128" s="2" t="s">
        <v>900</v>
      </c>
      <c r="B128" s="2" t="s">
        <v>34</v>
      </c>
      <c r="C128" s="2" t="s">
        <v>618</v>
      </c>
      <c r="D128" s="2" t="s">
        <v>901</v>
      </c>
      <c r="E128" s="2" t="s">
        <v>902</v>
      </c>
      <c r="F128" s="2" t="s">
        <v>85</v>
      </c>
      <c r="G128" s="2" t="s">
        <v>63</v>
      </c>
      <c r="H128" s="2" t="s">
        <v>73</v>
      </c>
      <c r="I128" s="2" t="s">
        <v>357</v>
      </c>
      <c r="J128" s="2" t="s">
        <v>55</v>
      </c>
      <c r="K128" s="2" t="n">
        <v>2</v>
      </c>
      <c r="L128" s="11" t="n">
        <v>3</v>
      </c>
      <c r="M128" s="2" t="n">
        <f aca="false">K128+L128</f>
        <v>5</v>
      </c>
      <c r="N128" s="2" t="s">
        <v>890</v>
      </c>
      <c r="O128" s="2" t="s">
        <v>903</v>
      </c>
      <c r="P128" s="2" t="s">
        <v>904</v>
      </c>
      <c r="Q128" s="2" t="s">
        <v>905</v>
      </c>
    </row>
    <row r="129" customFormat="false" ht="46.25" hidden="false" customHeight="false" outlineLevel="0" collapsed="false">
      <c r="A129" s="2" t="s">
        <v>906</v>
      </c>
      <c r="B129" s="2" t="s">
        <v>34</v>
      </c>
      <c r="C129" s="2" t="s">
        <v>618</v>
      </c>
      <c r="D129" s="2" t="s">
        <v>907</v>
      </c>
      <c r="E129" s="2" t="s">
        <v>908</v>
      </c>
      <c r="F129" s="2" t="s">
        <v>85</v>
      </c>
      <c r="G129" s="2" t="s">
        <v>63</v>
      </c>
      <c r="H129" s="2" t="s">
        <v>72</v>
      </c>
      <c r="I129" s="2" t="s">
        <v>120</v>
      </c>
      <c r="J129" s="2" t="s">
        <v>55</v>
      </c>
      <c r="K129" s="2" t="n">
        <v>0</v>
      </c>
      <c r="L129" s="11" t="n">
        <v>4</v>
      </c>
      <c r="M129" s="2" t="n">
        <f aca="false">K129+L129</f>
        <v>4</v>
      </c>
      <c r="N129" s="2" t="s">
        <v>909</v>
      </c>
      <c r="O129" s="2" t="s">
        <v>910</v>
      </c>
      <c r="P129" s="2"/>
      <c r="Q129" s="2" t="s">
        <v>911</v>
      </c>
    </row>
    <row r="130" customFormat="false" ht="35.05" hidden="false" customHeight="false" outlineLevel="0" collapsed="false">
      <c r="A130" s="2" t="s">
        <v>912</v>
      </c>
      <c r="B130" s="2" t="s">
        <v>34</v>
      </c>
      <c r="C130" s="2" t="s">
        <v>618</v>
      </c>
      <c r="D130" s="2" t="s">
        <v>913</v>
      </c>
      <c r="E130" s="2" t="s">
        <v>914</v>
      </c>
      <c r="F130" s="2" t="s">
        <v>85</v>
      </c>
      <c r="G130" s="2" t="s">
        <v>61</v>
      </c>
      <c r="H130" s="2" t="s">
        <v>74</v>
      </c>
      <c r="I130" s="2" t="s">
        <v>357</v>
      </c>
      <c r="J130" s="2" t="s">
        <v>56</v>
      </c>
      <c r="K130" s="2" t="n">
        <v>1</v>
      </c>
      <c r="L130" s="11" t="n">
        <v>5</v>
      </c>
      <c r="M130" s="2" t="n">
        <f aca="false">K130+L130</f>
        <v>6</v>
      </c>
      <c r="N130" s="2" t="s">
        <v>915</v>
      </c>
      <c r="O130" s="2" t="s">
        <v>916</v>
      </c>
      <c r="P130" s="2" t="s">
        <v>917</v>
      </c>
      <c r="Q130" s="2" t="s">
        <v>918</v>
      </c>
    </row>
    <row r="131" customFormat="false" ht="46.25" hidden="false" customHeight="false" outlineLevel="0" collapsed="false">
      <c r="A131" s="2" t="s">
        <v>919</v>
      </c>
      <c r="B131" s="2" t="s">
        <v>34</v>
      </c>
      <c r="C131" s="2" t="s">
        <v>618</v>
      </c>
      <c r="D131" s="2" t="s">
        <v>920</v>
      </c>
      <c r="E131" s="2" t="s">
        <v>921</v>
      </c>
      <c r="F131" s="2" t="s">
        <v>85</v>
      </c>
      <c r="G131" s="2" t="s">
        <v>61</v>
      </c>
      <c r="H131" s="2" t="s">
        <v>74</v>
      </c>
      <c r="I131" s="2" t="s">
        <v>391</v>
      </c>
      <c r="J131" s="2" t="s">
        <v>55</v>
      </c>
      <c r="K131" s="2" t="n">
        <v>0</v>
      </c>
      <c r="L131" s="11" t="n">
        <v>9</v>
      </c>
      <c r="M131" s="2" t="n">
        <f aca="false">K131+L131</f>
        <v>9</v>
      </c>
      <c r="N131" s="2" t="s">
        <v>922</v>
      </c>
      <c r="O131" s="2" t="s">
        <v>923</v>
      </c>
      <c r="P131" s="2"/>
      <c r="Q131" s="2" t="s">
        <v>924</v>
      </c>
    </row>
    <row r="132" customFormat="false" ht="79.85" hidden="false" customHeight="false" outlineLevel="0" collapsed="false">
      <c r="A132" s="2" t="s">
        <v>925</v>
      </c>
      <c r="B132" s="2" t="s">
        <v>34</v>
      </c>
      <c r="C132" s="2" t="s">
        <v>618</v>
      </c>
      <c r="D132" s="2" t="s">
        <v>926</v>
      </c>
      <c r="E132" s="2" t="s">
        <v>927</v>
      </c>
      <c r="F132" s="2" t="s">
        <v>85</v>
      </c>
      <c r="G132" s="2" t="s">
        <v>61</v>
      </c>
      <c r="H132" s="2" t="s">
        <v>74</v>
      </c>
      <c r="I132" s="2" t="s">
        <v>357</v>
      </c>
      <c r="J132" s="2" t="s">
        <v>55</v>
      </c>
      <c r="K132" s="2" t="n">
        <v>3</v>
      </c>
      <c r="L132" s="11" t="n">
        <v>12</v>
      </c>
      <c r="M132" s="2" t="n">
        <f aca="false">K132+L132</f>
        <v>15</v>
      </c>
      <c r="N132" s="2" t="s">
        <v>928</v>
      </c>
      <c r="O132" s="2" t="s">
        <v>929</v>
      </c>
      <c r="P132" s="2" t="s">
        <v>930</v>
      </c>
      <c r="Q132" s="2" t="s">
        <v>931</v>
      </c>
    </row>
    <row r="133" customFormat="false" ht="23.85" hidden="false" customHeight="false" outlineLevel="0" collapsed="false">
      <c r="A133" s="2" t="s">
        <v>932</v>
      </c>
      <c r="B133" s="2" t="s">
        <v>34</v>
      </c>
      <c r="C133" s="2" t="s">
        <v>618</v>
      </c>
      <c r="D133" s="2" t="s">
        <v>933</v>
      </c>
      <c r="E133" s="2" t="s">
        <v>934</v>
      </c>
      <c r="F133" s="2" t="s">
        <v>85</v>
      </c>
      <c r="G133" s="2" t="s">
        <v>61</v>
      </c>
      <c r="H133" s="2" t="s">
        <v>67</v>
      </c>
      <c r="I133" s="2" t="s">
        <v>357</v>
      </c>
      <c r="J133" s="2" t="s">
        <v>56</v>
      </c>
      <c r="K133" s="2" t="n">
        <v>1</v>
      </c>
      <c r="L133" s="11" t="n">
        <v>3</v>
      </c>
      <c r="M133" s="2" t="n">
        <f aca="false">K133+L133</f>
        <v>4</v>
      </c>
      <c r="N133" s="2" t="s">
        <v>928</v>
      </c>
      <c r="O133" s="2" t="s">
        <v>935</v>
      </c>
      <c r="P133" s="2" t="s">
        <v>936</v>
      </c>
      <c r="Q133" s="2" t="s">
        <v>937</v>
      </c>
    </row>
    <row r="134" customFormat="false" ht="35.05" hidden="false" customHeight="false" outlineLevel="0" collapsed="false">
      <c r="A134" s="2" t="s">
        <v>938</v>
      </c>
      <c r="B134" s="2" t="s">
        <v>34</v>
      </c>
      <c r="C134" s="2" t="s">
        <v>618</v>
      </c>
      <c r="D134" s="2" t="s">
        <v>939</v>
      </c>
      <c r="E134" s="2" t="s">
        <v>940</v>
      </c>
      <c r="F134" s="2" t="s">
        <v>85</v>
      </c>
      <c r="G134" s="2" t="s">
        <v>62</v>
      </c>
      <c r="H134" s="2" t="s">
        <v>73</v>
      </c>
      <c r="I134" s="2" t="s">
        <v>120</v>
      </c>
      <c r="J134" s="2" t="s">
        <v>56</v>
      </c>
      <c r="K134" s="2" t="n">
        <v>0</v>
      </c>
      <c r="L134" s="11" t="n">
        <v>7</v>
      </c>
      <c r="M134" s="2" t="n">
        <f aca="false">K134+L134</f>
        <v>7</v>
      </c>
      <c r="N134" s="2" t="s">
        <v>941</v>
      </c>
      <c r="O134" s="2" t="s">
        <v>942</v>
      </c>
      <c r="P134" s="2"/>
      <c r="Q134" s="2" t="s">
        <v>943</v>
      </c>
    </row>
    <row r="135" customFormat="false" ht="35.05" hidden="false" customHeight="false" outlineLevel="0" collapsed="false">
      <c r="A135" s="2" t="s">
        <v>944</v>
      </c>
      <c r="B135" s="2" t="s">
        <v>34</v>
      </c>
      <c r="C135" s="2" t="s">
        <v>618</v>
      </c>
      <c r="D135" s="2" t="s">
        <v>945</v>
      </c>
      <c r="E135" s="2" t="s">
        <v>946</v>
      </c>
      <c r="F135" s="2" t="s">
        <v>85</v>
      </c>
      <c r="G135" s="2" t="s">
        <v>61</v>
      </c>
      <c r="H135" s="2" t="s">
        <v>72</v>
      </c>
      <c r="I135" s="2" t="s">
        <v>120</v>
      </c>
      <c r="J135" s="2" t="s">
        <v>56</v>
      </c>
      <c r="K135" s="2" t="n">
        <v>0</v>
      </c>
      <c r="L135" s="11" t="n">
        <v>3</v>
      </c>
      <c r="M135" s="2" t="n">
        <f aca="false">K135+L135</f>
        <v>3</v>
      </c>
      <c r="N135" s="2" t="s">
        <v>947</v>
      </c>
      <c r="O135" s="2" t="s">
        <v>948</v>
      </c>
      <c r="P135" s="2"/>
      <c r="Q135" s="2" t="s">
        <v>949</v>
      </c>
    </row>
    <row r="136" customFormat="false" ht="35.05" hidden="false" customHeight="false" outlineLevel="0" collapsed="false">
      <c r="A136" s="2" t="s">
        <v>950</v>
      </c>
      <c r="B136" s="2" t="s">
        <v>34</v>
      </c>
      <c r="C136" s="2" t="s">
        <v>618</v>
      </c>
      <c r="D136" s="2" t="s">
        <v>951</v>
      </c>
      <c r="E136" s="2" t="s">
        <v>952</v>
      </c>
      <c r="F136" s="2" t="s">
        <v>85</v>
      </c>
      <c r="G136" s="2" t="s">
        <v>60</v>
      </c>
      <c r="H136" s="2" t="s">
        <v>69</v>
      </c>
      <c r="I136" s="2" t="s">
        <v>120</v>
      </c>
      <c r="J136" s="2" t="s">
        <v>56</v>
      </c>
      <c r="K136" s="2" t="n">
        <v>0</v>
      </c>
      <c r="L136" s="11" t="n">
        <v>5</v>
      </c>
      <c r="M136" s="2" t="n">
        <f aca="false">K136+L136</f>
        <v>5</v>
      </c>
      <c r="N136" s="2" t="s">
        <v>953</v>
      </c>
      <c r="O136" s="2" t="s">
        <v>954</v>
      </c>
      <c r="P136" s="2"/>
      <c r="Q136" s="2" t="s">
        <v>955</v>
      </c>
    </row>
    <row r="137" customFormat="false" ht="23.85" hidden="false" customHeight="false" outlineLevel="0" collapsed="false">
      <c r="A137" s="2" t="s">
        <v>956</v>
      </c>
      <c r="B137" s="2" t="s">
        <v>34</v>
      </c>
      <c r="C137" s="2" t="s">
        <v>618</v>
      </c>
      <c r="D137" s="2" t="s">
        <v>957</v>
      </c>
      <c r="E137" s="2" t="s">
        <v>958</v>
      </c>
      <c r="F137" s="2" t="s">
        <v>85</v>
      </c>
      <c r="G137" s="2" t="s">
        <v>60</v>
      </c>
      <c r="H137" s="2" t="s">
        <v>69</v>
      </c>
      <c r="I137" s="2" t="s">
        <v>391</v>
      </c>
      <c r="J137" s="2" t="s">
        <v>55</v>
      </c>
      <c r="K137" s="2" t="n">
        <v>0</v>
      </c>
      <c r="L137" s="11" t="n">
        <v>5</v>
      </c>
      <c r="M137" s="2" t="n">
        <f aca="false">K137+L137</f>
        <v>5</v>
      </c>
      <c r="N137" s="2" t="s">
        <v>959</v>
      </c>
      <c r="O137" s="2" t="s">
        <v>960</v>
      </c>
      <c r="P137" s="2"/>
      <c r="Q137" s="2" t="s">
        <v>961</v>
      </c>
    </row>
    <row r="138" customFormat="false" ht="23.85" hidden="false" customHeight="false" outlineLevel="0" collapsed="false">
      <c r="A138" s="2" t="s">
        <v>962</v>
      </c>
      <c r="B138" s="2" t="s">
        <v>34</v>
      </c>
      <c r="C138" s="2" t="s">
        <v>618</v>
      </c>
      <c r="D138" s="2" t="s">
        <v>963</v>
      </c>
      <c r="E138" s="2" t="s">
        <v>964</v>
      </c>
      <c r="F138" s="2" t="s">
        <v>85</v>
      </c>
      <c r="G138" s="2" t="s">
        <v>60</v>
      </c>
      <c r="H138" s="2" t="s">
        <v>74</v>
      </c>
      <c r="I138" s="2" t="s">
        <v>357</v>
      </c>
      <c r="J138" s="2" t="s">
        <v>56</v>
      </c>
      <c r="K138" s="2" t="n">
        <v>1</v>
      </c>
      <c r="L138" s="11" t="n">
        <v>2</v>
      </c>
      <c r="M138" s="2" t="n">
        <f aca="false">K138+L138</f>
        <v>3</v>
      </c>
      <c r="N138" s="2" t="s">
        <v>915</v>
      </c>
      <c r="O138" s="2" t="s">
        <v>965</v>
      </c>
      <c r="P138" s="2" t="s">
        <v>966</v>
      </c>
      <c r="Q138" s="2" t="s">
        <v>967</v>
      </c>
    </row>
    <row r="139" customFormat="false" ht="35.05" hidden="false" customHeight="false" outlineLevel="0" collapsed="false">
      <c r="A139" s="2" t="s">
        <v>968</v>
      </c>
      <c r="B139" s="2" t="s">
        <v>34</v>
      </c>
      <c r="C139" s="2" t="s">
        <v>618</v>
      </c>
      <c r="D139" s="2" t="s">
        <v>969</v>
      </c>
      <c r="E139" s="2" t="s">
        <v>970</v>
      </c>
      <c r="F139" s="2" t="s">
        <v>85</v>
      </c>
      <c r="G139" s="2" t="s">
        <v>59</v>
      </c>
      <c r="H139" s="2" t="s">
        <v>72</v>
      </c>
      <c r="I139" s="2" t="s">
        <v>120</v>
      </c>
      <c r="J139" s="2" t="s">
        <v>56</v>
      </c>
      <c r="K139" s="2" t="n">
        <v>0</v>
      </c>
      <c r="L139" s="11" t="n">
        <v>9</v>
      </c>
      <c r="M139" s="2" t="n">
        <f aca="false">K139+L139</f>
        <v>9</v>
      </c>
      <c r="N139" s="2" t="s">
        <v>959</v>
      </c>
      <c r="O139" s="2" t="s">
        <v>971</v>
      </c>
      <c r="P139" s="2"/>
      <c r="Q139" s="2" t="s">
        <v>972</v>
      </c>
    </row>
    <row r="140" customFormat="false" ht="46.25" hidden="false" customHeight="false" outlineLevel="0" collapsed="false">
      <c r="A140" s="2" t="s">
        <v>973</v>
      </c>
      <c r="B140" s="2" t="s">
        <v>34</v>
      </c>
      <c r="C140" s="2" t="s">
        <v>618</v>
      </c>
      <c r="D140" s="2" t="s">
        <v>974</v>
      </c>
      <c r="E140" s="2" t="s">
        <v>975</v>
      </c>
      <c r="F140" s="2" t="s">
        <v>85</v>
      </c>
      <c r="G140" s="2" t="s">
        <v>59</v>
      </c>
      <c r="H140" s="2" t="s">
        <v>69</v>
      </c>
      <c r="I140" s="2" t="s">
        <v>357</v>
      </c>
      <c r="J140" s="2" t="s">
        <v>55</v>
      </c>
      <c r="K140" s="2" t="n">
        <v>1</v>
      </c>
      <c r="L140" s="11" t="n">
        <v>7</v>
      </c>
      <c r="M140" s="2" t="n">
        <f aca="false">K140+L140</f>
        <v>8</v>
      </c>
      <c r="N140" s="2" t="s">
        <v>976</v>
      </c>
      <c r="O140" s="2" t="s">
        <v>977</v>
      </c>
      <c r="P140" s="2" t="s">
        <v>978</v>
      </c>
      <c r="Q140" s="2" t="s">
        <v>979</v>
      </c>
    </row>
    <row r="141" customFormat="false" ht="35.05" hidden="false" customHeight="false" outlineLevel="0" collapsed="false">
      <c r="A141" s="2" t="s">
        <v>980</v>
      </c>
      <c r="B141" s="2" t="s">
        <v>34</v>
      </c>
      <c r="C141" s="2" t="s">
        <v>618</v>
      </c>
      <c r="D141" s="2" t="s">
        <v>981</v>
      </c>
      <c r="E141" s="2" t="s">
        <v>982</v>
      </c>
      <c r="F141" s="2" t="s">
        <v>85</v>
      </c>
      <c r="G141" s="2" t="s">
        <v>62</v>
      </c>
      <c r="H141" s="2" t="s">
        <v>71</v>
      </c>
      <c r="I141" s="2" t="s">
        <v>120</v>
      </c>
      <c r="J141" s="2" t="s">
        <v>55</v>
      </c>
      <c r="K141" s="2" t="n">
        <v>0</v>
      </c>
      <c r="L141" s="11" t="n">
        <v>6</v>
      </c>
      <c r="M141" s="2" t="n">
        <f aca="false">K141+L141</f>
        <v>6</v>
      </c>
      <c r="N141" s="2" t="s">
        <v>983</v>
      </c>
      <c r="O141" s="2" t="s">
        <v>984</v>
      </c>
      <c r="P141" s="2"/>
      <c r="Q141" s="2" t="s">
        <v>985</v>
      </c>
    </row>
    <row r="142" customFormat="false" ht="23.85" hidden="false" customHeight="false" outlineLevel="0" collapsed="false">
      <c r="A142" s="2" t="s">
        <v>986</v>
      </c>
      <c r="B142" s="2" t="s">
        <v>34</v>
      </c>
      <c r="C142" s="2" t="s">
        <v>618</v>
      </c>
      <c r="D142" s="2" t="s">
        <v>987</v>
      </c>
      <c r="E142" s="2" t="s">
        <v>988</v>
      </c>
      <c r="F142" s="2" t="s">
        <v>85</v>
      </c>
      <c r="G142" s="2" t="s">
        <v>60</v>
      </c>
      <c r="H142" s="2" t="s">
        <v>69</v>
      </c>
      <c r="I142" s="2" t="s">
        <v>120</v>
      </c>
      <c r="J142" s="2" t="s">
        <v>56</v>
      </c>
      <c r="K142" s="2" t="n">
        <v>0</v>
      </c>
      <c r="L142" s="11" t="n">
        <v>5</v>
      </c>
      <c r="M142" s="2" t="n">
        <f aca="false">K142+L142</f>
        <v>5</v>
      </c>
      <c r="N142" s="2" t="s">
        <v>959</v>
      </c>
      <c r="O142" s="2" t="s">
        <v>989</v>
      </c>
      <c r="P142" s="2"/>
      <c r="Q142" s="2" t="s">
        <v>990</v>
      </c>
    </row>
    <row r="143" customFormat="false" ht="46.25" hidden="false" customHeight="false" outlineLevel="0" collapsed="false">
      <c r="A143" s="2" t="s">
        <v>991</v>
      </c>
      <c r="B143" s="2" t="s">
        <v>34</v>
      </c>
      <c r="C143" s="2" t="s">
        <v>618</v>
      </c>
      <c r="D143" s="2" t="s">
        <v>992</v>
      </c>
      <c r="E143" s="2" t="s">
        <v>993</v>
      </c>
      <c r="F143" s="2" t="s">
        <v>85</v>
      </c>
      <c r="G143" s="2" t="s">
        <v>61</v>
      </c>
      <c r="H143" s="2" t="s">
        <v>67</v>
      </c>
      <c r="I143" s="2" t="s">
        <v>391</v>
      </c>
      <c r="J143" s="2" t="s">
        <v>55</v>
      </c>
      <c r="K143" s="2" t="n">
        <v>0</v>
      </c>
      <c r="L143" s="11" t="n">
        <v>3</v>
      </c>
      <c r="M143" s="2" t="n">
        <f aca="false">K143+L143</f>
        <v>3</v>
      </c>
      <c r="N143" s="2" t="s">
        <v>994</v>
      </c>
      <c r="O143" s="2" t="s">
        <v>995</v>
      </c>
      <c r="P143" s="2"/>
      <c r="Q143" s="2" t="s">
        <v>996</v>
      </c>
    </row>
    <row r="144" customFormat="false" ht="23.85" hidden="false" customHeight="false" outlineLevel="0" collapsed="false">
      <c r="A144" s="2" t="s">
        <v>997</v>
      </c>
      <c r="B144" s="2" t="s">
        <v>34</v>
      </c>
      <c r="C144" s="2" t="s">
        <v>618</v>
      </c>
      <c r="D144" s="2" t="s">
        <v>998</v>
      </c>
      <c r="E144" s="2" t="s">
        <v>999</v>
      </c>
      <c r="F144" s="2" t="s">
        <v>81</v>
      </c>
      <c r="G144" s="2" t="s">
        <v>64</v>
      </c>
      <c r="H144" s="2" t="s">
        <v>75</v>
      </c>
      <c r="I144" s="2" t="s">
        <v>447</v>
      </c>
      <c r="J144" s="2" t="s">
        <v>57</v>
      </c>
      <c r="K144" s="2" t="n">
        <v>4</v>
      </c>
      <c r="L144" s="11" t="n">
        <v>0</v>
      </c>
      <c r="M144" s="2" t="n">
        <f aca="false">K144+L144</f>
        <v>4</v>
      </c>
      <c r="N144" s="2" t="s">
        <v>621</v>
      </c>
      <c r="O144" s="2" t="s">
        <v>1000</v>
      </c>
      <c r="P144" s="2" t="s">
        <v>1001</v>
      </c>
      <c r="Q144" s="2" t="s">
        <v>1002</v>
      </c>
    </row>
    <row r="145" customFormat="false" ht="46.25" hidden="false" customHeight="false" outlineLevel="0" collapsed="false">
      <c r="A145" s="2" t="s">
        <v>1003</v>
      </c>
      <c r="B145" s="2" t="s">
        <v>34</v>
      </c>
      <c r="C145" s="2" t="s">
        <v>618</v>
      </c>
      <c r="D145" s="2" t="s">
        <v>1004</v>
      </c>
      <c r="E145" s="2" t="s">
        <v>1005</v>
      </c>
      <c r="F145" s="2" t="s">
        <v>82</v>
      </c>
      <c r="G145" s="2" t="s">
        <v>61</v>
      </c>
      <c r="H145" s="2" t="s">
        <v>75</v>
      </c>
      <c r="I145" s="2" t="s">
        <v>447</v>
      </c>
      <c r="J145" s="2" t="s">
        <v>57</v>
      </c>
      <c r="K145" s="2" t="n">
        <v>10</v>
      </c>
      <c r="L145" s="11" t="n">
        <v>0</v>
      </c>
      <c r="M145" s="2" t="n">
        <f aca="false">K145+L145</f>
        <v>10</v>
      </c>
      <c r="N145" s="2" t="s">
        <v>621</v>
      </c>
      <c r="O145" s="2" t="s">
        <v>1006</v>
      </c>
      <c r="P145" s="2" t="s">
        <v>1007</v>
      </c>
      <c r="Q145" s="2" t="s">
        <v>1008</v>
      </c>
    </row>
    <row r="146" customFormat="false" ht="23.85" hidden="false" customHeight="false" outlineLevel="0" collapsed="false">
      <c r="A146" s="2" t="s">
        <v>1009</v>
      </c>
      <c r="B146" s="2" t="s">
        <v>34</v>
      </c>
      <c r="C146" s="2" t="s">
        <v>618</v>
      </c>
      <c r="D146" s="2" t="s">
        <v>1010</v>
      </c>
      <c r="E146" s="2" t="s">
        <v>1011</v>
      </c>
      <c r="F146" s="2" t="s">
        <v>82</v>
      </c>
      <c r="G146" s="2" t="s">
        <v>60</v>
      </c>
      <c r="H146" s="2" t="s">
        <v>75</v>
      </c>
      <c r="I146" s="2" t="s">
        <v>447</v>
      </c>
      <c r="J146" s="2" t="s">
        <v>57</v>
      </c>
      <c r="K146" s="2" t="n">
        <v>5</v>
      </c>
      <c r="L146" s="11" t="n">
        <v>0</v>
      </c>
      <c r="M146" s="2" t="n">
        <f aca="false">K146+L146</f>
        <v>5</v>
      </c>
      <c r="N146" s="2" t="s">
        <v>621</v>
      </c>
      <c r="O146" s="2" t="s">
        <v>1012</v>
      </c>
      <c r="P146" s="2" t="s">
        <v>1013</v>
      </c>
      <c r="Q146" s="2" t="s">
        <v>1014</v>
      </c>
    </row>
    <row r="147" customFormat="false" ht="35.05" hidden="false" customHeight="false" outlineLevel="0" collapsed="false">
      <c r="A147" s="2" t="s">
        <v>1015</v>
      </c>
      <c r="B147" s="2" t="s">
        <v>34</v>
      </c>
      <c r="C147" s="2" t="s">
        <v>618</v>
      </c>
      <c r="D147" s="2" t="s">
        <v>1016</v>
      </c>
      <c r="E147" s="2" t="s">
        <v>1017</v>
      </c>
      <c r="F147" s="2" t="s">
        <v>86</v>
      </c>
      <c r="G147" s="2" t="s">
        <v>62</v>
      </c>
      <c r="H147" s="2" t="s">
        <v>75</v>
      </c>
      <c r="I147" s="2" t="s">
        <v>447</v>
      </c>
      <c r="J147" s="2" t="s">
        <v>57</v>
      </c>
      <c r="K147" s="2" t="n">
        <v>8</v>
      </c>
      <c r="L147" s="11" t="n">
        <v>0</v>
      </c>
      <c r="M147" s="2" t="n">
        <f aca="false">K147+L147</f>
        <v>8</v>
      </c>
      <c r="N147" s="2" t="s">
        <v>621</v>
      </c>
      <c r="O147" s="2" t="s">
        <v>1018</v>
      </c>
      <c r="P147" s="2" t="s">
        <v>1019</v>
      </c>
      <c r="Q147" s="2" t="s">
        <v>1020</v>
      </c>
    </row>
    <row r="148" customFormat="false" ht="46.25" hidden="false" customHeight="false" outlineLevel="0" collapsed="false">
      <c r="A148" s="2" t="s">
        <v>1021</v>
      </c>
      <c r="B148" s="2" t="s">
        <v>34</v>
      </c>
      <c r="C148" s="2" t="s">
        <v>618</v>
      </c>
      <c r="D148" s="2" t="s">
        <v>1022</v>
      </c>
      <c r="E148" s="2" t="s">
        <v>1023</v>
      </c>
      <c r="F148" s="2" t="s">
        <v>87</v>
      </c>
      <c r="G148" s="2" t="s">
        <v>62</v>
      </c>
      <c r="H148" s="2" t="s">
        <v>75</v>
      </c>
      <c r="I148" s="2" t="s">
        <v>447</v>
      </c>
      <c r="J148" s="2" t="s">
        <v>57</v>
      </c>
      <c r="K148" s="2" t="n">
        <v>8</v>
      </c>
      <c r="L148" s="11" t="n">
        <v>0</v>
      </c>
      <c r="M148" s="2" t="n">
        <f aca="false">K148+L148</f>
        <v>8</v>
      </c>
      <c r="N148" s="2" t="s">
        <v>621</v>
      </c>
      <c r="O148" s="2" t="s">
        <v>1024</v>
      </c>
      <c r="P148" s="2" t="s">
        <v>1025</v>
      </c>
      <c r="Q148" s="2" t="s">
        <v>1020</v>
      </c>
    </row>
    <row r="149" customFormat="false" ht="23.85" hidden="false" customHeight="false" outlineLevel="0" collapsed="false">
      <c r="A149" s="2" t="s">
        <v>1026</v>
      </c>
      <c r="B149" s="2" t="s">
        <v>34</v>
      </c>
      <c r="C149" s="2" t="s">
        <v>597</v>
      </c>
      <c r="D149" s="2" t="s">
        <v>1027</v>
      </c>
      <c r="E149" s="2" t="s">
        <v>1028</v>
      </c>
      <c r="F149" s="2" t="s">
        <v>94</v>
      </c>
      <c r="G149" s="2" t="s">
        <v>62</v>
      </c>
      <c r="H149" s="2" t="s">
        <v>75</v>
      </c>
      <c r="I149" s="2" t="s">
        <v>120</v>
      </c>
      <c r="J149" s="2" t="s">
        <v>56</v>
      </c>
      <c r="K149" s="2" t="n">
        <v>0</v>
      </c>
      <c r="L149" s="11" t="n">
        <v>6</v>
      </c>
      <c r="M149" s="2" t="n">
        <f aca="false">K149+L149</f>
        <v>6</v>
      </c>
      <c r="N149" s="2" t="s">
        <v>1029</v>
      </c>
      <c r="O149" s="2" t="s">
        <v>1030</v>
      </c>
      <c r="P149" s="2"/>
      <c r="Q149" s="2" t="s">
        <v>1031</v>
      </c>
    </row>
    <row r="150" customFormat="false" ht="23.85" hidden="false" customHeight="false" outlineLevel="0" collapsed="false">
      <c r="A150" s="2" t="s">
        <v>1032</v>
      </c>
      <c r="B150" s="2" t="s">
        <v>34</v>
      </c>
      <c r="C150" s="2" t="s">
        <v>618</v>
      </c>
      <c r="D150" s="2" t="s">
        <v>1033</v>
      </c>
      <c r="E150" s="2" t="s">
        <v>1034</v>
      </c>
      <c r="F150" s="2" t="s">
        <v>96</v>
      </c>
      <c r="G150" s="2" t="s">
        <v>62</v>
      </c>
      <c r="H150" s="2" t="s">
        <v>70</v>
      </c>
      <c r="I150" s="2" t="s">
        <v>120</v>
      </c>
      <c r="J150" s="2" t="s">
        <v>56</v>
      </c>
      <c r="K150" s="2" t="n">
        <v>0</v>
      </c>
      <c r="L150" s="11" t="n">
        <v>3</v>
      </c>
      <c r="M150" s="2" t="n">
        <f aca="false">K150+L150</f>
        <v>3</v>
      </c>
      <c r="N150" s="2" t="s">
        <v>621</v>
      </c>
      <c r="O150" s="2" t="s">
        <v>1035</v>
      </c>
      <c r="P150" s="2"/>
      <c r="Q150" s="2" t="s">
        <v>1036</v>
      </c>
    </row>
    <row r="151" customFormat="false" ht="35.05" hidden="false" customHeight="false" outlineLevel="0" collapsed="false">
      <c r="A151" s="2" t="s">
        <v>1037</v>
      </c>
      <c r="B151" s="2" t="s">
        <v>35</v>
      </c>
      <c r="C151" s="2" t="s">
        <v>1038</v>
      </c>
      <c r="D151" s="2" t="s">
        <v>1039</v>
      </c>
      <c r="E151" s="2" t="s">
        <v>1040</v>
      </c>
      <c r="F151" s="2" t="s">
        <v>81</v>
      </c>
      <c r="G151" s="2" t="s">
        <v>62</v>
      </c>
      <c r="H151" s="2" t="s">
        <v>75</v>
      </c>
      <c r="I151" s="2" t="s">
        <v>357</v>
      </c>
      <c r="J151" s="2" t="s">
        <v>56</v>
      </c>
      <c r="K151" s="2" t="n">
        <v>12</v>
      </c>
      <c r="L151" s="11" t="n">
        <v>4</v>
      </c>
      <c r="M151" s="2" t="n">
        <f aca="false">K151+L151</f>
        <v>16</v>
      </c>
      <c r="N151" s="2" t="s">
        <v>1041</v>
      </c>
      <c r="O151" s="2" t="s">
        <v>1042</v>
      </c>
      <c r="P151" s="2" t="s">
        <v>1001</v>
      </c>
      <c r="Q151" s="2" t="s">
        <v>1043</v>
      </c>
    </row>
    <row r="152" customFormat="false" ht="35.05" hidden="false" customHeight="false" outlineLevel="0" collapsed="false">
      <c r="A152" s="2" t="s">
        <v>1044</v>
      </c>
      <c r="B152" s="2" t="s">
        <v>35</v>
      </c>
      <c r="C152" s="2" t="s">
        <v>1038</v>
      </c>
      <c r="D152" s="2" t="s">
        <v>1045</v>
      </c>
      <c r="E152" s="2" t="s">
        <v>1046</v>
      </c>
      <c r="F152" s="2" t="s">
        <v>82</v>
      </c>
      <c r="G152" s="2" t="s">
        <v>61</v>
      </c>
      <c r="H152" s="2" t="s">
        <v>67</v>
      </c>
      <c r="I152" s="2" t="s">
        <v>357</v>
      </c>
      <c r="J152" s="2" t="s">
        <v>56</v>
      </c>
      <c r="K152" s="2" t="n">
        <v>21</v>
      </c>
      <c r="L152" s="11" t="n">
        <v>2</v>
      </c>
      <c r="M152" s="2" t="n">
        <f aca="false">K152+L152</f>
        <v>23</v>
      </c>
      <c r="N152" s="2" t="s">
        <v>1047</v>
      </c>
      <c r="O152" s="2" t="s">
        <v>1048</v>
      </c>
      <c r="P152" s="2" t="s">
        <v>1049</v>
      </c>
      <c r="Q152" s="2" t="s">
        <v>1050</v>
      </c>
    </row>
    <row r="153" customFormat="false" ht="35.05" hidden="false" customHeight="false" outlineLevel="0" collapsed="false">
      <c r="A153" s="2" t="s">
        <v>1051</v>
      </c>
      <c r="B153" s="2" t="s">
        <v>35</v>
      </c>
      <c r="C153" s="2" t="s">
        <v>1038</v>
      </c>
      <c r="D153" s="2" t="s">
        <v>1052</v>
      </c>
      <c r="E153" s="2" t="s">
        <v>1053</v>
      </c>
      <c r="F153" s="2" t="s">
        <v>82</v>
      </c>
      <c r="G153" s="2" t="s">
        <v>61</v>
      </c>
      <c r="H153" s="2" t="s">
        <v>72</v>
      </c>
      <c r="I153" s="2" t="s">
        <v>447</v>
      </c>
      <c r="J153" s="2" t="s">
        <v>57</v>
      </c>
      <c r="K153" s="2" t="n">
        <v>9</v>
      </c>
      <c r="L153" s="11" t="n">
        <v>0</v>
      </c>
      <c r="M153" s="2" t="n">
        <f aca="false">K153+L153</f>
        <v>9</v>
      </c>
      <c r="N153" s="2" t="s">
        <v>1054</v>
      </c>
      <c r="O153" s="2" t="s">
        <v>1055</v>
      </c>
      <c r="P153" s="2" t="s">
        <v>484</v>
      </c>
      <c r="Q153" s="2" t="s">
        <v>1056</v>
      </c>
    </row>
    <row r="154" customFormat="false" ht="23.85" hidden="false" customHeight="false" outlineLevel="0" collapsed="false">
      <c r="A154" s="2" t="s">
        <v>1057</v>
      </c>
      <c r="B154" s="2" t="s">
        <v>35</v>
      </c>
      <c r="C154" s="2" t="s">
        <v>1038</v>
      </c>
      <c r="D154" s="2" t="s">
        <v>1058</v>
      </c>
      <c r="E154" s="2" t="s">
        <v>1059</v>
      </c>
      <c r="F154" s="2" t="s">
        <v>92</v>
      </c>
      <c r="G154" s="2" t="s">
        <v>62</v>
      </c>
      <c r="H154" s="2" t="s">
        <v>67</v>
      </c>
      <c r="I154" s="2" t="s">
        <v>357</v>
      </c>
      <c r="J154" s="2" t="s">
        <v>56</v>
      </c>
      <c r="K154" s="2" t="n">
        <v>9</v>
      </c>
      <c r="L154" s="11" t="n">
        <v>4</v>
      </c>
      <c r="M154" s="2" t="n">
        <f aca="false">K154+L154</f>
        <v>13</v>
      </c>
      <c r="N154" s="2" t="s">
        <v>1060</v>
      </c>
      <c r="O154" s="2" t="s">
        <v>1061</v>
      </c>
      <c r="P154" s="2" t="s">
        <v>1062</v>
      </c>
      <c r="Q154" s="2" t="s">
        <v>1063</v>
      </c>
    </row>
    <row r="155" customFormat="false" ht="23.85" hidden="false" customHeight="false" outlineLevel="0" collapsed="false">
      <c r="A155" s="2" t="s">
        <v>1064</v>
      </c>
      <c r="B155" s="2" t="s">
        <v>35</v>
      </c>
      <c r="C155" s="2" t="s">
        <v>1038</v>
      </c>
      <c r="D155" s="2" t="s">
        <v>1065</v>
      </c>
      <c r="E155" s="2" t="s">
        <v>1066</v>
      </c>
      <c r="F155" s="2" t="s">
        <v>82</v>
      </c>
      <c r="G155" s="2" t="s">
        <v>60</v>
      </c>
      <c r="H155" s="2" t="s">
        <v>72</v>
      </c>
      <c r="I155" s="2" t="s">
        <v>357</v>
      </c>
      <c r="J155" s="2" t="s">
        <v>56</v>
      </c>
      <c r="K155" s="2" t="n">
        <v>6</v>
      </c>
      <c r="L155" s="11" t="n">
        <v>3</v>
      </c>
      <c r="M155" s="2" t="n">
        <f aca="false">K155+L155</f>
        <v>9</v>
      </c>
      <c r="N155" s="2" t="s">
        <v>1067</v>
      </c>
      <c r="O155" s="2" t="s">
        <v>511</v>
      </c>
      <c r="P155" s="2" t="s">
        <v>1068</v>
      </c>
      <c r="Q155" s="2" t="s">
        <v>1069</v>
      </c>
    </row>
    <row r="156" customFormat="false" ht="35.05" hidden="false" customHeight="false" outlineLevel="0" collapsed="false">
      <c r="A156" s="2" t="s">
        <v>1070</v>
      </c>
      <c r="B156" s="2" t="s">
        <v>35</v>
      </c>
      <c r="C156" s="2" t="s">
        <v>1038</v>
      </c>
      <c r="D156" s="2" t="s">
        <v>1071</v>
      </c>
      <c r="E156" s="2" t="s">
        <v>1072</v>
      </c>
      <c r="F156" s="2" t="s">
        <v>83</v>
      </c>
      <c r="G156" s="2" t="s">
        <v>64</v>
      </c>
      <c r="H156" s="2" t="s">
        <v>67</v>
      </c>
      <c r="I156" s="2" t="s">
        <v>357</v>
      </c>
      <c r="J156" s="2" t="s">
        <v>56</v>
      </c>
      <c r="K156" s="2" t="n">
        <v>18</v>
      </c>
      <c r="L156" s="11" t="n">
        <v>5</v>
      </c>
      <c r="M156" s="2" t="n">
        <f aca="false">K156+L156</f>
        <v>23</v>
      </c>
      <c r="N156" s="2" t="s">
        <v>1073</v>
      </c>
      <c r="O156" s="2" t="s">
        <v>1074</v>
      </c>
      <c r="P156" s="2" t="s">
        <v>1075</v>
      </c>
      <c r="Q156" s="2" t="s">
        <v>1076</v>
      </c>
    </row>
    <row r="157" customFormat="false" ht="35.05" hidden="false" customHeight="false" outlineLevel="0" collapsed="false">
      <c r="A157" s="2" t="s">
        <v>1077</v>
      </c>
      <c r="B157" s="2" t="s">
        <v>35</v>
      </c>
      <c r="C157" s="2" t="s">
        <v>1038</v>
      </c>
      <c r="D157" s="2" t="s">
        <v>1078</v>
      </c>
      <c r="E157" s="2" t="s">
        <v>1079</v>
      </c>
      <c r="F157" s="2" t="s">
        <v>83</v>
      </c>
      <c r="G157" s="2" t="s">
        <v>59</v>
      </c>
      <c r="H157" s="2" t="s">
        <v>75</v>
      </c>
      <c r="I157" s="2" t="s">
        <v>357</v>
      </c>
      <c r="J157" s="2" t="s">
        <v>56</v>
      </c>
      <c r="K157" s="2" t="n">
        <v>9</v>
      </c>
      <c r="L157" s="11" t="n">
        <v>6</v>
      </c>
      <c r="M157" s="2" t="n">
        <f aca="false">K157+L157</f>
        <v>15</v>
      </c>
      <c r="N157" s="2" t="s">
        <v>1080</v>
      </c>
      <c r="O157" s="2" t="s">
        <v>1081</v>
      </c>
      <c r="P157" s="2" t="s">
        <v>1082</v>
      </c>
      <c r="Q157" s="2" t="s">
        <v>1083</v>
      </c>
    </row>
    <row r="158" customFormat="false" ht="35.05" hidden="false" customHeight="false" outlineLevel="0" collapsed="false">
      <c r="A158" s="2" t="s">
        <v>1084</v>
      </c>
      <c r="B158" s="2" t="s">
        <v>35</v>
      </c>
      <c r="C158" s="2" t="s">
        <v>1038</v>
      </c>
      <c r="D158" s="2" t="s">
        <v>1085</v>
      </c>
      <c r="E158" s="2" t="s">
        <v>1086</v>
      </c>
      <c r="F158" s="2" t="s">
        <v>83</v>
      </c>
      <c r="G158" s="2" t="s">
        <v>60</v>
      </c>
      <c r="H158" s="2" t="s">
        <v>76</v>
      </c>
      <c r="I158" s="2" t="s">
        <v>357</v>
      </c>
      <c r="J158" s="2" t="s">
        <v>56</v>
      </c>
      <c r="K158" s="2" t="n">
        <v>6</v>
      </c>
      <c r="L158" s="11" t="n">
        <v>2</v>
      </c>
      <c r="M158" s="2" t="n">
        <f aca="false">K158+L158</f>
        <v>8</v>
      </c>
      <c r="N158" s="2" t="s">
        <v>1087</v>
      </c>
      <c r="O158" s="2" t="s">
        <v>1088</v>
      </c>
      <c r="P158" s="2" t="s">
        <v>1089</v>
      </c>
      <c r="Q158" s="2" t="s">
        <v>1090</v>
      </c>
    </row>
    <row r="159" customFormat="false" ht="35.05" hidden="false" customHeight="false" outlineLevel="0" collapsed="false">
      <c r="A159" s="2" t="s">
        <v>1091</v>
      </c>
      <c r="B159" s="2" t="s">
        <v>35</v>
      </c>
      <c r="C159" s="2" t="s">
        <v>1038</v>
      </c>
      <c r="D159" s="2" t="s">
        <v>1092</v>
      </c>
      <c r="E159" s="2" t="s">
        <v>1093</v>
      </c>
      <c r="F159" s="2" t="s">
        <v>83</v>
      </c>
      <c r="G159" s="2" t="s">
        <v>61</v>
      </c>
      <c r="H159" s="2" t="s">
        <v>71</v>
      </c>
      <c r="I159" s="2" t="s">
        <v>357</v>
      </c>
      <c r="J159" s="2" t="s">
        <v>56</v>
      </c>
      <c r="K159" s="2" t="n">
        <v>9</v>
      </c>
      <c r="L159" s="11" t="n">
        <v>3</v>
      </c>
      <c r="M159" s="2" t="n">
        <f aca="false">K159+L159</f>
        <v>12</v>
      </c>
      <c r="N159" s="2" t="s">
        <v>1094</v>
      </c>
      <c r="O159" s="2" t="s">
        <v>1095</v>
      </c>
      <c r="P159" s="2" t="s">
        <v>1096</v>
      </c>
      <c r="Q159" s="2" t="s">
        <v>1097</v>
      </c>
    </row>
    <row r="160" customFormat="false" ht="35.05" hidden="false" customHeight="false" outlineLevel="0" collapsed="false">
      <c r="A160" s="2" t="s">
        <v>1098</v>
      </c>
      <c r="B160" s="2" t="s">
        <v>35</v>
      </c>
      <c r="C160" s="2" t="s">
        <v>1038</v>
      </c>
      <c r="D160" s="2" t="s">
        <v>1099</v>
      </c>
      <c r="E160" s="2" t="s">
        <v>1100</v>
      </c>
      <c r="F160" s="2" t="s">
        <v>94</v>
      </c>
      <c r="G160" s="2" t="s">
        <v>63</v>
      </c>
      <c r="H160" s="2" t="s">
        <v>75</v>
      </c>
      <c r="I160" s="2" t="s">
        <v>357</v>
      </c>
      <c r="J160" s="2" t="s">
        <v>56</v>
      </c>
      <c r="K160" s="2" t="n">
        <v>9</v>
      </c>
      <c r="L160" s="11" t="n">
        <v>4</v>
      </c>
      <c r="M160" s="2" t="n">
        <f aca="false">K160+L160</f>
        <v>13</v>
      </c>
      <c r="N160" s="2" t="s">
        <v>1101</v>
      </c>
      <c r="O160" s="2" t="s">
        <v>1102</v>
      </c>
      <c r="P160" s="2" t="s">
        <v>1103</v>
      </c>
      <c r="Q160" s="2" t="s">
        <v>1104</v>
      </c>
    </row>
    <row r="161" customFormat="false" ht="46.25" hidden="false" customHeight="false" outlineLevel="0" collapsed="false">
      <c r="A161" s="2" t="s">
        <v>1105</v>
      </c>
      <c r="B161" s="2" t="s">
        <v>35</v>
      </c>
      <c r="C161" s="2" t="s">
        <v>1038</v>
      </c>
      <c r="D161" s="2" t="s">
        <v>1106</v>
      </c>
      <c r="E161" s="2" t="s">
        <v>1107</v>
      </c>
      <c r="F161" s="2" t="s">
        <v>84</v>
      </c>
      <c r="G161" s="2" t="s">
        <v>61</v>
      </c>
      <c r="H161" s="2" t="s">
        <v>67</v>
      </c>
      <c r="I161" s="2" t="s">
        <v>357</v>
      </c>
      <c r="J161" s="2" t="s">
        <v>56</v>
      </c>
      <c r="K161" s="2" t="n">
        <v>24</v>
      </c>
      <c r="L161" s="11" t="n">
        <v>3</v>
      </c>
      <c r="M161" s="2" t="n">
        <f aca="false">K161+L161</f>
        <v>27</v>
      </c>
      <c r="N161" s="2" t="s">
        <v>1108</v>
      </c>
      <c r="O161" s="2" t="s">
        <v>1109</v>
      </c>
      <c r="P161" s="2" t="s">
        <v>1110</v>
      </c>
      <c r="Q161" s="2" t="s">
        <v>1111</v>
      </c>
    </row>
    <row r="162" customFormat="false" ht="35.05" hidden="false" customHeight="false" outlineLevel="0" collapsed="false">
      <c r="A162" s="2" t="s">
        <v>1112</v>
      </c>
      <c r="B162" s="2" t="s">
        <v>35</v>
      </c>
      <c r="C162" s="2" t="s">
        <v>1038</v>
      </c>
      <c r="D162" s="2" t="s">
        <v>1113</v>
      </c>
      <c r="E162" s="2" t="s">
        <v>1114</v>
      </c>
      <c r="F162" s="2" t="s">
        <v>84</v>
      </c>
      <c r="G162" s="2" t="s">
        <v>62</v>
      </c>
      <c r="H162" s="2" t="s">
        <v>76</v>
      </c>
      <c r="I162" s="2" t="s">
        <v>357</v>
      </c>
      <c r="J162" s="2" t="s">
        <v>56</v>
      </c>
      <c r="K162" s="2" t="n">
        <v>12</v>
      </c>
      <c r="L162" s="11" t="n">
        <v>4</v>
      </c>
      <c r="M162" s="2" t="n">
        <f aca="false">K162+L162</f>
        <v>16</v>
      </c>
      <c r="N162" s="2" t="s">
        <v>1087</v>
      </c>
      <c r="O162" s="2" t="s">
        <v>1115</v>
      </c>
      <c r="P162" s="2" t="s">
        <v>1116</v>
      </c>
      <c r="Q162" s="2" t="s">
        <v>1117</v>
      </c>
    </row>
    <row r="163" customFormat="false" ht="46.25" hidden="false" customHeight="false" outlineLevel="0" collapsed="false">
      <c r="A163" s="2" t="s">
        <v>1118</v>
      </c>
      <c r="B163" s="2" t="s">
        <v>35</v>
      </c>
      <c r="C163" s="2" t="s">
        <v>1038</v>
      </c>
      <c r="D163" s="2" t="s">
        <v>1119</v>
      </c>
      <c r="E163" s="2" t="s">
        <v>1120</v>
      </c>
      <c r="F163" s="2" t="s">
        <v>96</v>
      </c>
      <c r="G163" s="2" t="s">
        <v>62</v>
      </c>
      <c r="H163" s="2" t="s">
        <v>73</v>
      </c>
      <c r="I163" s="2" t="s">
        <v>357</v>
      </c>
      <c r="J163" s="2" t="s">
        <v>56</v>
      </c>
      <c r="K163" s="2" t="n">
        <v>21</v>
      </c>
      <c r="L163" s="11" t="n">
        <v>3</v>
      </c>
      <c r="M163" s="2" t="n">
        <f aca="false">K163+L163</f>
        <v>24</v>
      </c>
      <c r="N163" s="2" t="s">
        <v>1121</v>
      </c>
      <c r="O163" s="2" t="s">
        <v>1122</v>
      </c>
      <c r="P163" s="2" t="s">
        <v>1123</v>
      </c>
      <c r="Q163" s="2" t="s">
        <v>1124</v>
      </c>
    </row>
    <row r="164" customFormat="false" ht="23.85" hidden="false" customHeight="false" outlineLevel="0" collapsed="false">
      <c r="A164" s="2" t="s">
        <v>1125</v>
      </c>
      <c r="B164" s="2" t="s">
        <v>35</v>
      </c>
      <c r="C164" s="2" t="s">
        <v>1038</v>
      </c>
      <c r="D164" s="2" t="s">
        <v>1126</v>
      </c>
      <c r="E164" s="2" t="s">
        <v>1127</v>
      </c>
      <c r="F164" s="2" t="s">
        <v>85</v>
      </c>
      <c r="G164" s="2" t="s">
        <v>62</v>
      </c>
      <c r="H164" s="2" t="s">
        <v>74</v>
      </c>
      <c r="I164" s="2" t="s">
        <v>357</v>
      </c>
      <c r="J164" s="2" t="s">
        <v>56</v>
      </c>
      <c r="K164" s="2" t="n">
        <v>3</v>
      </c>
      <c r="L164" s="11" t="n">
        <v>4</v>
      </c>
      <c r="M164" s="2" t="n">
        <f aca="false">K164+L164</f>
        <v>7</v>
      </c>
      <c r="N164" s="2" t="s">
        <v>1087</v>
      </c>
      <c r="O164" s="2" t="s">
        <v>1128</v>
      </c>
      <c r="P164" s="2" t="s">
        <v>917</v>
      </c>
      <c r="Q164" s="2" t="s">
        <v>1129</v>
      </c>
    </row>
    <row r="165" customFormat="false" ht="23.85" hidden="false" customHeight="false" outlineLevel="0" collapsed="false">
      <c r="A165" s="2" t="s">
        <v>1130</v>
      </c>
      <c r="B165" s="2" t="s">
        <v>35</v>
      </c>
      <c r="C165" s="2" t="s">
        <v>1038</v>
      </c>
      <c r="D165" s="2" t="s">
        <v>1131</v>
      </c>
      <c r="E165" s="2" t="s">
        <v>1132</v>
      </c>
      <c r="F165" s="2" t="s">
        <v>85</v>
      </c>
      <c r="G165" s="2" t="s">
        <v>61</v>
      </c>
      <c r="H165" s="2" t="s">
        <v>67</v>
      </c>
      <c r="I165" s="2" t="s">
        <v>447</v>
      </c>
      <c r="J165" s="2" t="s">
        <v>57</v>
      </c>
      <c r="K165" s="2" t="n">
        <v>12</v>
      </c>
      <c r="L165" s="11" t="n">
        <v>0</v>
      </c>
      <c r="M165" s="2" t="n">
        <f aca="false">K165+L165</f>
        <v>12</v>
      </c>
      <c r="N165" s="2" t="s">
        <v>1133</v>
      </c>
      <c r="O165" s="2" t="s">
        <v>929</v>
      </c>
      <c r="P165" s="2" t="s">
        <v>1134</v>
      </c>
      <c r="Q165" s="2" t="s">
        <v>1135</v>
      </c>
    </row>
    <row r="166" customFormat="false" ht="35.05" hidden="false" customHeight="false" outlineLevel="0" collapsed="false">
      <c r="A166" s="2" t="s">
        <v>1136</v>
      </c>
      <c r="B166" s="2" t="s">
        <v>35</v>
      </c>
      <c r="C166" s="2" t="s">
        <v>1038</v>
      </c>
      <c r="D166" s="2" t="s">
        <v>1137</v>
      </c>
      <c r="E166" s="2" t="s">
        <v>1138</v>
      </c>
      <c r="F166" s="2" t="s">
        <v>96</v>
      </c>
      <c r="G166" s="2" t="s">
        <v>62</v>
      </c>
      <c r="H166" s="2" t="s">
        <v>73</v>
      </c>
      <c r="I166" s="2" t="s">
        <v>447</v>
      </c>
      <c r="J166" s="2" t="s">
        <v>57</v>
      </c>
      <c r="K166" s="2" t="n">
        <v>3</v>
      </c>
      <c r="L166" s="11" t="n">
        <v>0</v>
      </c>
      <c r="M166" s="2" t="n">
        <f aca="false">K166+L166</f>
        <v>3</v>
      </c>
      <c r="N166" s="2" t="s">
        <v>1139</v>
      </c>
      <c r="O166" s="2" t="s">
        <v>1140</v>
      </c>
      <c r="P166" s="2" t="s">
        <v>798</v>
      </c>
      <c r="Q166" s="2" t="s">
        <v>1141</v>
      </c>
    </row>
    <row r="167" customFormat="false" ht="46.25" hidden="false" customHeight="false" outlineLevel="0" collapsed="false">
      <c r="A167" s="2" t="s">
        <v>1142</v>
      </c>
      <c r="B167" s="2" t="s">
        <v>35</v>
      </c>
      <c r="C167" s="2" t="s">
        <v>1143</v>
      </c>
      <c r="D167" s="2" t="s">
        <v>1144</v>
      </c>
      <c r="E167" s="2" t="s">
        <v>1145</v>
      </c>
      <c r="F167" s="2" t="s">
        <v>99</v>
      </c>
      <c r="G167" s="2" t="s">
        <v>64</v>
      </c>
      <c r="H167" s="2" t="s">
        <v>72</v>
      </c>
      <c r="I167" s="2" t="s">
        <v>357</v>
      </c>
      <c r="J167" s="2" t="s">
        <v>56</v>
      </c>
      <c r="K167" s="2" t="n">
        <v>3</v>
      </c>
      <c r="L167" s="11" t="n">
        <v>4</v>
      </c>
      <c r="M167" s="2" t="n">
        <f aca="false">K167+L167</f>
        <v>7</v>
      </c>
      <c r="N167" s="2" t="s">
        <v>1146</v>
      </c>
      <c r="O167" s="2" t="s">
        <v>1147</v>
      </c>
      <c r="P167" s="2" t="s">
        <v>817</v>
      </c>
      <c r="Q167" s="2" t="s">
        <v>1148</v>
      </c>
    </row>
    <row r="168" customFormat="false" ht="35.05" hidden="false" customHeight="false" outlineLevel="0" collapsed="false">
      <c r="A168" s="2" t="s">
        <v>1149</v>
      </c>
      <c r="B168" s="2" t="s">
        <v>35</v>
      </c>
      <c r="C168" s="2" t="s">
        <v>1143</v>
      </c>
      <c r="D168" s="2" t="s">
        <v>1150</v>
      </c>
      <c r="E168" s="2" t="s">
        <v>1151</v>
      </c>
      <c r="F168" s="2" t="s">
        <v>85</v>
      </c>
      <c r="G168" s="2" t="s">
        <v>60</v>
      </c>
      <c r="H168" s="2" t="s">
        <v>72</v>
      </c>
      <c r="I168" s="2" t="s">
        <v>357</v>
      </c>
      <c r="J168" s="2" t="s">
        <v>56</v>
      </c>
      <c r="K168" s="2" t="n">
        <v>3</v>
      </c>
      <c r="L168" s="11" t="n">
        <v>5</v>
      </c>
      <c r="M168" s="2" t="n">
        <f aca="false">K168+L168</f>
        <v>8</v>
      </c>
      <c r="N168" s="2" t="s">
        <v>1152</v>
      </c>
      <c r="O168" s="2" t="s">
        <v>1153</v>
      </c>
      <c r="P168" s="2" t="s">
        <v>966</v>
      </c>
      <c r="Q168" s="2" t="s">
        <v>1154</v>
      </c>
    </row>
    <row r="169" customFormat="false" ht="46.25" hidden="false" customHeight="false" outlineLevel="0" collapsed="false">
      <c r="A169" s="2" t="s">
        <v>1155</v>
      </c>
      <c r="B169" s="2" t="s">
        <v>35</v>
      </c>
      <c r="C169" s="2" t="s">
        <v>1038</v>
      </c>
      <c r="D169" s="2" t="s">
        <v>1156</v>
      </c>
      <c r="E169" s="2" t="s">
        <v>1157</v>
      </c>
      <c r="F169" s="2" t="s">
        <v>85</v>
      </c>
      <c r="G169" s="2" t="s">
        <v>59</v>
      </c>
      <c r="H169" s="2" t="s">
        <v>69</v>
      </c>
      <c r="I169" s="2" t="s">
        <v>357</v>
      </c>
      <c r="J169" s="2" t="s">
        <v>56</v>
      </c>
      <c r="K169" s="2" t="n">
        <v>3</v>
      </c>
      <c r="L169" s="11" t="n">
        <v>4</v>
      </c>
      <c r="M169" s="2" t="n">
        <f aca="false">K169+L169</f>
        <v>7</v>
      </c>
      <c r="N169" s="2" t="s">
        <v>1158</v>
      </c>
      <c r="O169" s="2" t="s">
        <v>1159</v>
      </c>
      <c r="P169" s="2" t="s">
        <v>978</v>
      </c>
      <c r="Q169" s="2" t="s">
        <v>1160</v>
      </c>
    </row>
    <row r="170" customFormat="false" ht="46.25" hidden="false" customHeight="false" outlineLevel="0" collapsed="false">
      <c r="A170" s="2" t="s">
        <v>1161</v>
      </c>
      <c r="B170" s="2" t="s">
        <v>35</v>
      </c>
      <c r="C170" s="2" t="s">
        <v>1143</v>
      </c>
      <c r="D170" s="2" t="s">
        <v>1162</v>
      </c>
      <c r="E170" s="2" t="s">
        <v>1163</v>
      </c>
      <c r="F170" s="2" t="s">
        <v>86</v>
      </c>
      <c r="G170" s="2" t="s">
        <v>62</v>
      </c>
      <c r="H170" s="2" t="s">
        <v>68</v>
      </c>
      <c r="I170" s="2" t="s">
        <v>357</v>
      </c>
      <c r="J170" s="2" t="s">
        <v>56</v>
      </c>
      <c r="K170" s="2" t="n">
        <v>3</v>
      </c>
      <c r="L170" s="11" t="n">
        <v>5</v>
      </c>
      <c r="M170" s="2" t="n">
        <f aca="false">K170+L170</f>
        <v>8</v>
      </c>
      <c r="N170" s="2" t="s">
        <v>1164</v>
      </c>
      <c r="O170" s="2" t="s">
        <v>1165</v>
      </c>
      <c r="P170" s="2" t="s">
        <v>1166</v>
      </c>
      <c r="Q170" s="2" t="s">
        <v>1167</v>
      </c>
    </row>
    <row r="171" customFormat="false" ht="46.25" hidden="false" customHeight="false" outlineLevel="0" collapsed="false">
      <c r="A171" s="2" t="s">
        <v>1168</v>
      </c>
      <c r="B171" s="2" t="s">
        <v>35</v>
      </c>
      <c r="C171" s="2" t="s">
        <v>1143</v>
      </c>
      <c r="D171" s="2" t="s">
        <v>1169</v>
      </c>
      <c r="E171" s="2" t="s">
        <v>1170</v>
      </c>
      <c r="F171" s="2" t="s">
        <v>86</v>
      </c>
      <c r="G171" s="2" t="s">
        <v>62</v>
      </c>
      <c r="H171" s="2" t="s">
        <v>68</v>
      </c>
      <c r="I171" s="2" t="s">
        <v>357</v>
      </c>
      <c r="J171" s="2" t="s">
        <v>56</v>
      </c>
      <c r="K171" s="2" t="n">
        <v>9</v>
      </c>
      <c r="L171" s="11" t="n">
        <v>7</v>
      </c>
      <c r="M171" s="2" t="n">
        <f aca="false">K171+L171</f>
        <v>16</v>
      </c>
      <c r="N171" s="2" t="s">
        <v>1171</v>
      </c>
      <c r="O171" s="2" t="s">
        <v>1172</v>
      </c>
      <c r="P171" s="2" t="s">
        <v>1173</v>
      </c>
      <c r="Q171" s="2" t="s">
        <v>1174</v>
      </c>
    </row>
    <row r="172" customFormat="false" ht="46.25" hidden="false" customHeight="false" outlineLevel="0" collapsed="false">
      <c r="A172" s="2" t="s">
        <v>1175</v>
      </c>
      <c r="B172" s="2" t="s">
        <v>35</v>
      </c>
      <c r="C172" s="2" t="s">
        <v>1176</v>
      </c>
      <c r="D172" s="2" t="s">
        <v>1177</v>
      </c>
      <c r="E172" s="2" t="s">
        <v>1178</v>
      </c>
      <c r="F172" s="2" t="s">
        <v>86</v>
      </c>
      <c r="G172" s="2" t="s">
        <v>60</v>
      </c>
      <c r="H172" s="2" t="s">
        <v>73</v>
      </c>
      <c r="I172" s="2" t="s">
        <v>357</v>
      </c>
      <c r="J172" s="2" t="s">
        <v>56</v>
      </c>
      <c r="K172" s="2" t="n">
        <v>3</v>
      </c>
      <c r="L172" s="11" t="n">
        <v>5</v>
      </c>
      <c r="M172" s="2" t="n">
        <f aca="false">K172+L172</f>
        <v>8</v>
      </c>
      <c r="N172" s="2" t="s">
        <v>1179</v>
      </c>
      <c r="O172" s="2" t="s">
        <v>1180</v>
      </c>
      <c r="P172" s="2" t="s">
        <v>1181</v>
      </c>
      <c r="Q172" s="2" t="s">
        <v>1182</v>
      </c>
    </row>
    <row r="173" customFormat="false" ht="79.85" hidden="false" customHeight="false" outlineLevel="0" collapsed="false">
      <c r="A173" s="2" t="s">
        <v>1183</v>
      </c>
      <c r="B173" s="2" t="s">
        <v>35</v>
      </c>
      <c r="C173" s="2" t="s">
        <v>1184</v>
      </c>
      <c r="D173" s="2" t="s">
        <v>1185</v>
      </c>
      <c r="E173" s="2" t="s">
        <v>1186</v>
      </c>
      <c r="F173" s="2" t="s">
        <v>101</v>
      </c>
      <c r="G173" s="2" t="s">
        <v>62</v>
      </c>
      <c r="H173" s="2" t="s">
        <v>74</v>
      </c>
      <c r="I173" s="2" t="s">
        <v>357</v>
      </c>
      <c r="J173" s="2" t="s">
        <v>55</v>
      </c>
      <c r="K173" s="2" t="n">
        <v>9</v>
      </c>
      <c r="L173" s="11" t="n">
        <v>18</v>
      </c>
      <c r="M173" s="2" t="n">
        <f aca="false">K173+L173</f>
        <v>27</v>
      </c>
      <c r="N173" s="2" t="s">
        <v>1187</v>
      </c>
      <c r="O173" s="2" t="s">
        <v>1188</v>
      </c>
      <c r="P173" s="2" t="s">
        <v>1189</v>
      </c>
      <c r="Q173" s="2" t="s">
        <v>1190</v>
      </c>
    </row>
    <row r="174" customFormat="false" ht="46.25" hidden="false" customHeight="false" outlineLevel="0" collapsed="false">
      <c r="A174" s="2" t="s">
        <v>1191</v>
      </c>
      <c r="B174" s="2" t="s">
        <v>35</v>
      </c>
      <c r="C174" s="2" t="s">
        <v>1184</v>
      </c>
      <c r="D174" s="2" t="s">
        <v>1192</v>
      </c>
      <c r="E174" s="2" t="s">
        <v>1193</v>
      </c>
      <c r="F174" s="2" t="s">
        <v>87</v>
      </c>
      <c r="G174" s="2" t="s">
        <v>62</v>
      </c>
      <c r="H174" s="2" t="s">
        <v>72</v>
      </c>
      <c r="I174" s="2" t="s">
        <v>357</v>
      </c>
      <c r="J174" s="2" t="s">
        <v>56</v>
      </c>
      <c r="K174" s="2" t="n">
        <v>3</v>
      </c>
      <c r="L174" s="11" t="n">
        <v>5</v>
      </c>
      <c r="M174" s="2" t="n">
        <f aca="false">K174+L174</f>
        <v>8</v>
      </c>
      <c r="N174" s="2" t="s">
        <v>1194</v>
      </c>
      <c r="O174" s="2" t="s">
        <v>1195</v>
      </c>
      <c r="P174" s="2" t="s">
        <v>1196</v>
      </c>
      <c r="Q174" s="2" t="s">
        <v>1197</v>
      </c>
    </row>
    <row r="175" customFormat="false" ht="46.25" hidden="false" customHeight="false" outlineLevel="0" collapsed="false">
      <c r="A175" s="2" t="s">
        <v>1198</v>
      </c>
      <c r="B175" s="2" t="s">
        <v>35</v>
      </c>
      <c r="C175" s="2" t="s">
        <v>1184</v>
      </c>
      <c r="D175" s="2" t="s">
        <v>1199</v>
      </c>
      <c r="E175" s="2" t="s">
        <v>1200</v>
      </c>
      <c r="F175" s="2" t="s">
        <v>87</v>
      </c>
      <c r="G175" s="2" t="s">
        <v>62</v>
      </c>
      <c r="H175" s="2" t="s">
        <v>68</v>
      </c>
      <c r="I175" s="2" t="s">
        <v>357</v>
      </c>
      <c r="J175" s="2" t="s">
        <v>56</v>
      </c>
      <c r="K175" s="2" t="n">
        <v>6</v>
      </c>
      <c r="L175" s="11" t="n">
        <v>6</v>
      </c>
      <c r="M175" s="2" t="n">
        <f aca="false">K175+L175</f>
        <v>12</v>
      </c>
      <c r="N175" s="2" t="s">
        <v>1201</v>
      </c>
      <c r="O175" s="2" t="s">
        <v>1202</v>
      </c>
      <c r="P175" s="2" t="s">
        <v>1203</v>
      </c>
      <c r="Q175" s="2" t="s">
        <v>1204</v>
      </c>
    </row>
    <row r="176" customFormat="false" ht="35.05" hidden="false" customHeight="false" outlineLevel="0" collapsed="false">
      <c r="A176" s="2" t="s">
        <v>1205</v>
      </c>
      <c r="B176" s="2" t="s">
        <v>35</v>
      </c>
      <c r="C176" s="2" t="s">
        <v>1184</v>
      </c>
      <c r="D176" s="2" t="s">
        <v>1206</v>
      </c>
      <c r="E176" s="2" t="s">
        <v>1207</v>
      </c>
      <c r="F176" s="2" t="s">
        <v>87</v>
      </c>
      <c r="G176" s="2" t="s">
        <v>59</v>
      </c>
      <c r="H176" s="2" t="s">
        <v>72</v>
      </c>
      <c r="I176" s="2" t="s">
        <v>357</v>
      </c>
      <c r="J176" s="2" t="s">
        <v>56</v>
      </c>
      <c r="K176" s="2" t="n">
        <v>3</v>
      </c>
      <c r="L176" s="11" t="n">
        <v>7</v>
      </c>
      <c r="M176" s="2" t="n">
        <f aca="false">K176+L176</f>
        <v>10</v>
      </c>
      <c r="N176" s="2" t="s">
        <v>1208</v>
      </c>
      <c r="O176" s="2" t="s">
        <v>1209</v>
      </c>
      <c r="P176" s="2" t="s">
        <v>1210</v>
      </c>
      <c r="Q176" s="2" t="s">
        <v>1211</v>
      </c>
    </row>
    <row r="177" customFormat="false" ht="35.05" hidden="false" customHeight="false" outlineLevel="0" collapsed="false">
      <c r="A177" s="2" t="s">
        <v>1212</v>
      </c>
      <c r="B177" s="2" t="s">
        <v>35</v>
      </c>
      <c r="C177" s="2" t="s">
        <v>1184</v>
      </c>
      <c r="D177" s="2" t="s">
        <v>1213</v>
      </c>
      <c r="E177" s="2" t="s">
        <v>1214</v>
      </c>
      <c r="F177" s="2" t="s">
        <v>87</v>
      </c>
      <c r="G177" s="2" t="s">
        <v>59</v>
      </c>
      <c r="H177" s="2" t="s">
        <v>73</v>
      </c>
      <c r="I177" s="2" t="s">
        <v>357</v>
      </c>
      <c r="J177" s="2" t="s">
        <v>56</v>
      </c>
      <c r="K177" s="2" t="n">
        <v>3</v>
      </c>
      <c r="L177" s="11" t="n">
        <v>5</v>
      </c>
      <c r="M177" s="2" t="n">
        <f aca="false">K177+L177</f>
        <v>8</v>
      </c>
      <c r="N177" s="2" t="s">
        <v>1215</v>
      </c>
      <c r="O177" s="2" t="s">
        <v>1216</v>
      </c>
      <c r="P177" s="2" t="s">
        <v>1217</v>
      </c>
      <c r="Q177" s="2" t="s">
        <v>1218</v>
      </c>
    </row>
    <row r="178" customFormat="false" ht="57.45" hidden="false" customHeight="false" outlineLevel="0" collapsed="false">
      <c r="A178" s="2" t="s">
        <v>1219</v>
      </c>
      <c r="B178" s="2" t="s">
        <v>35</v>
      </c>
      <c r="C178" s="2" t="s">
        <v>1184</v>
      </c>
      <c r="D178" s="2" t="s">
        <v>1220</v>
      </c>
      <c r="E178" s="2" t="s">
        <v>1221</v>
      </c>
      <c r="F178" s="2" t="s">
        <v>87</v>
      </c>
      <c r="G178" s="2" t="s">
        <v>65</v>
      </c>
      <c r="H178" s="2" t="s">
        <v>73</v>
      </c>
      <c r="I178" s="2" t="s">
        <v>357</v>
      </c>
      <c r="J178" s="2" t="s">
        <v>56</v>
      </c>
      <c r="K178" s="2" t="n">
        <v>3</v>
      </c>
      <c r="L178" s="11" t="n">
        <v>4</v>
      </c>
      <c r="M178" s="2" t="n">
        <f aca="false">K178+L178</f>
        <v>7</v>
      </c>
      <c r="N178" s="2" t="s">
        <v>1222</v>
      </c>
      <c r="O178" s="2" t="s">
        <v>1223</v>
      </c>
      <c r="P178" s="2" t="s">
        <v>1224</v>
      </c>
      <c r="Q178" s="2" t="s">
        <v>1225</v>
      </c>
    </row>
    <row r="179" customFormat="false" ht="23.85" hidden="false" customHeight="false" outlineLevel="0" collapsed="false">
      <c r="A179" s="2" t="s">
        <v>1226</v>
      </c>
      <c r="B179" s="2" t="s">
        <v>35</v>
      </c>
      <c r="C179" s="2" t="s">
        <v>1184</v>
      </c>
      <c r="D179" s="2" t="s">
        <v>1227</v>
      </c>
      <c r="E179" s="2" t="s">
        <v>1228</v>
      </c>
      <c r="F179" s="2" t="s">
        <v>87</v>
      </c>
      <c r="G179" s="2" t="s">
        <v>62</v>
      </c>
      <c r="H179" s="2" t="s">
        <v>74</v>
      </c>
      <c r="I179" s="2" t="s">
        <v>357</v>
      </c>
      <c r="J179" s="2" t="s">
        <v>56</v>
      </c>
      <c r="K179" s="2" t="n">
        <v>3</v>
      </c>
      <c r="L179" s="11" t="n">
        <v>3</v>
      </c>
      <c r="M179" s="2" t="n">
        <f aca="false">K179+L179</f>
        <v>6</v>
      </c>
      <c r="N179" s="2" t="s">
        <v>1229</v>
      </c>
      <c r="O179" s="2" t="s">
        <v>1230</v>
      </c>
      <c r="P179" s="2" t="s">
        <v>1231</v>
      </c>
      <c r="Q179" s="2" t="s">
        <v>1232</v>
      </c>
    </row>
    <row r="180" customFormat="false" ht="23.85" hidden="false" customHeight="false" outlineLevel="0" collapsed="false">
      <c r="A180" s="2" t="s">
        <v>1233</v>
      </c>
      <c r="B180" s="2" t="s">
        <v>35</v>
      </c>
      <c r="C180" s="2" t="s">
        <v>1184</v>
      </c>
      <c r="D180" s="2" t="s">
        <v>1234</v>
      </c>
      <c r="E180" s="2" t="s">
        <v>1235</v>
      </c>
      <c r="F180" s="2" t="s">
        <v>87</v>
      </c>
      <c r="G180" s="2" t="s">
        <v>62</v>
      </c>
      <c r="H180" s="2" t="s">
        <v>74</v>
      </c>
      <c r="I180" s="2" t="s">
        <v>357</v>
      </c>
      <c r="J180" s="2" t="s">
        <v>56</v>
      </c>
      <c r="K180" s="2" t="n">
        <v>3</v>
      </c>
      <c r="L180" s="11" t="n">
        <v>3</v>
      </c>
      <c r="M180" s="2" t="n">
        <f aca="false">K180+L180</f>
        <v>6</v>
      </c>
      <c r="N180" s="2" t="s">
        <v>1236</v>
      </c>
      <c r="O180" s="2" t="s">
        <v>1237</v>
      </c>
      <c r="P180" s="2" t="s">
        <v>1238</v>
      </c>
      <c r="Q180" s="2" t="s">
        <v>1239</v>
      </c>
    </row>
    <row r="181" customFormat="false" ht="23.85" hidden="false" customHeight="false" outlineLevel="0" collapsed="false">
      <c r="A181" s="2" t="s">
        <v>1240</v>
      </c>
      <c r="B181" s="2" t="s">
        <v>35</v>
      </c>
      <c r="C181" s="2" t="s">
        <v>1241</v>
      </c>
      <c r="D181" s="2" t="s">
        <v>1242</v>
      </c>
      <c r="E181" s="2" t="s">
        <v>1243</v>
      </c>
      <c r="F181" s="2" t="s">
        <v>85</v>
      </c>
      <c r="G181" s="2" t="s">
        <v>61</v>
      </c>
      <c r="H181" s="2" t="s">
        <v>72</v>
      </c>
      <c r="I181" s="2" t="s">
        <v>120</v>
      </c>
      <c r="J181" s="2" t="s">
        <v>55</v>
      </c>
      <c r="K181" s="2" t="n">
        <v>0</v>
      </c>
      <c r="L181" s="11" t="n">
        <v>6</v>
      </c>
      <c r="M181" s="2" t="n">
        <f aca="false">K181+L181</f>
        <v>6</v>
      </c>
      <c r="N181" s="2" t="s">
        <v>1244</v>
      </c>
      <c r="O181" s="2" t="s">
        <v>1245</v>
      </c>
      <c r="P181" s="2"/>
      <c r="Q181" s="2" t="s">
        <v>1246</v>
      </c>
    </row>
    <row r="182" customFormat="false" ht="23.85" hidden="false" customHeight="false" outlineLevel="0" collapsed="false">
      <c r="A182" s="2" t="s">
        <v>1247</v>
      </c>
      <c r="B182" s="2" t="s">
        <v>35</v>
      </c>
      <c r="C182" s="2" t="s">
        <v>1248</v>
      </c>
      <c r="D182" s="2" t="s">
        <v>1249</v>
      </c>
      <c r="E182" s="2" t="s">
        <v>1250</v>
      </c>
      <c r="F182" s="2" t="s">
        <v>85</v>
      </c>
      <c r="G182" s="2" t="s">
        <v>65</v>
      </c>
      <c r="H182" s="2" t="s">
        <v>73</v>
      </c>
      <c r="I182" s="2" t="s">
        <v>120</v>
      </c>
      <c r="J182" s="2" t="s">
        <v>55</v>
      </c>
      <c r="K182" s="2" t="n">
        <v>0</v>
      </c>
      <c r="L182" s="11" t="n">
        <v>6</v>
      </c>
      <c r="M182" s="2" t="n">
        <f aca="false">K182+L182</f>
        <v>6</v>
      </c>
      <c r="N182" s="2" t="s">
        <v>1251</v>
      </c>
      <c r="O182" s="2" t="s">
        <v>1252</v>
      </c>
      <c r="P182" s="2"/>
      <c r="Q182" s="2" t="s">
        <v>1253</v>
      </c>
    </row>
    <row r="183" customFormat="false" ht="23.85" hidden="false" customHeight="false" outlineLevel="0" collapsed="false">
      <c r="A183" s="2" t="s">
        <v>1254</v>
      </c>
      <c r="B183" s="2" t="s">
        <v>35</v>
      </c>
      <c r="C183" s="2" t="s">
        <v>1248</v>
      </c>
      <c r="D183" s="2" t="s">
        <v>1255</v>
      </c>
      <c r="E183" s="2" t="s">
        <v>1256</v>
      </c>
      <c r="F183" s="2" t="s">
        <v>85</v>
      </c>
      <c r="G183" s="2" t="s">
        <v>59</v>
      </c>
      <c r="H183" s="2" t="s">
        <v>69</v>
      </c>
      <c r="I183" s="2" t="s">
        <v>120</v>
      </c>
      <c r="J183" s="2" t="s">
        <v>55</v>
      </c>
      <c r="K183" s="2" t="n">
        <v>0</v>
      </c>
      <c r="L183" s="11" t="n">
        <v>7</v>
      </c>
      <c r="M183" s="2" t="n">
        <f aca="false">K183+L183</f>
        <v>7</v>
      </c>
      <c r="N183" s="2" t="s">
        <v>1257</v>
      </c>
      <c r="O183" s="2" t="s">
        <v>1258</v>
      </c>
      <c r="P183" s="2"/>
      <c r="Q183" s="2" t="s">
        <v>1259</v>
      </c>
    </row>
    <row r="184" customFormat="false" ht="23.85" hidden="false" customHeight="false" outlineLevel="0" collapsed="false">
      <c r="A184" s="2" t="s">
        <v>1260</v>
      </c>
      <c r="B184" s="2" t="s">
        <v>35</v>
      </c>
      <c r="C184" s="2" t="s">
        <v>1248</v>
      </c>
      <c r="D184" s="2" t="s">
        <v>1261</v>
      </c>
      <c r="E184" s="2" t="s">
        <v>1262</v>
      </c>
      <c r="F184" s="2" t="s">
        <v>86</v>
      </c>
      <c r="G184" s="2" t="s">
        <v>59</v>
      </c>
      <c r="H184" s="2" t="s">
        <v>68</v>
      </c>
      <c r="I184" s="2" t="s">
        <v>120</v>
      </c>
      <c r="J184" s="2" t="s">
        <v>56</v>
      </c>
      <c r="K184" s="2" t="n">
        <v>0</v>
      </c>
      <c r="L184" s="11" t="n">
        <v>5</v>
      </c>
      <c r="M184" s="2" t="n">
        <f aca="false">K184+L184</f>
        <v>5</v>
      </c>
      <c r="N184" s="2" t="s">
        <v>1263</v>
      </c>
      <c r="O184" s="2" t="s">
        <v>1264</v>
      </c>
      <c r="P184" s="2"/>
      <c r="Q184" s="2" t="s">
        <v>1265</v>
      </c>
    </row>
    <row r="185" customFormat="false" ht="35.05" hidden="false" customHeight="false" outlineLevel="0" collapsed="false">
      <c r="A185" s="2" t="s">
        <v>1266</v>
      </c>
      <c r="B185" s="2" t="s">
        <v>35</v>
      </c>
      <c r="C185" s="2" t="s">
        <v>1248</v>
      </c>
      <c r="D185" s="2" t="s">
        <v>1267</v>
      </c>
      <c r="E185" s="2" t="s">
        <v>1268</v>
      </c>
      <c r="F185" s="2" t="s">
        <v>86</v>
      </c>
      <c r="G185" s="2" t="s">
        <v>62</v>
      </c>
      <c r="H185" s="2" t="s">
        <v>72</v>
      </c>
      <c r="I185" s="2" t="s">
        <v>120</v>
      </c>
      <c r="J185" s="2" t="s">
        <v>55</v>
      </c>
      <c r="K185" s="2" t="n">
        <v>0</v>
      </c>
      <c r="L185" s="11" t="n">
        <v>7</v>
      </c>
      <c r="M185" s="2" t="n">
        <f aca="false">K185+L185</f>
        <v>7</v>
      </c>
      <c r="N185" s="2" t="s">
        <v>1269</v>
      </c>
      <c r="O185" s="2" t="s">
        <v>1270</v>
      </c>
      <c r="P185" s="2"/>
      <c r="Q185" s="2" t="s">
        <v>1271</v>
      </c>
    </row>
    <row r="186" customFormat="false" ht="46.25" hidden="false" customHeight="false" outlineLevel="0" collapsed="false">
      <c r="A186" s="2" t="s">
        <v>1272</v>
      </c>
      <c r="B186" s="2" t="s">
        <v>35</v>
      </c>
      <c r="C186" s="2" t="s">
        <v>1241</v>
      </c>
      <c r="D186" s="2" t="s">
        <v>1273</v>
      </c>
      <c r="E186" s="2" t="s">
        <v>1274</v>
      </c>
      <c r="F186" s="2" t="s">
        <v>86</v>
      </c>
      <c r="G186" s="2" t="s">
        <v>61</v>
      </c>
      <c r="H186" s="2" t="s">
        <v>72</v>
      </c>
      <c r="I186" s="2" t="s">
        <v>391</v>
      </c>
      <c r="J186" s="2" t="s">
        <v>55</v>
      </c>
      <c r="K186" s="2" t="n">
        <v>0</v>
      </c>
      <c r="L186" s="11" t="n">
        <v>7</v>
      </c>
      <c r="M186" s="2" t="n">
        <f aca="false">K186+L186</f>
        <v>7</v>
      </c>
      <c r="N186" s="2" t="s">
        <v>1275</v>
      </c>
      <c r="O186" s="2" t="s">
        <v>1276</v>
      </c>
      <c r="P186" s="2"/>
      <c r="Q186" s="2" t="s">
        <v>1277</v>
      </c>
    </row>
    <row r="187" customFormat="false" ht="35.05" hidden="false" customHeight="false" outlineLevel="0" collapsed="false">
      <c r="A187" s="2" t="s">
        <v>1278</v>
      </c>
      <c r="B187" s="2" t="s">
        <v>35</v>
      </c>
      <c r="C187" s="2" t="s">
        <v>1248</v>
      </c>
      <c r="D187" s="2" t="s">
        <v>1279</v>
      </c>
      <c r="E187" s="2" t="s">
        <v>1280</v>
      </c>
      <c r="F187" s="2" t="s">
        <v>86</v>
      </c>
      <c r="G187" s="2" t="s">
        <v>62</v>
      </c>
      <c r="H187" s="2" t="s">
        <v>71</v>
      </c>
      <c r="I187" s="2" t="s">
        <v>391</v>
      </c>
      <c r="J187" s="2" t="s">
        <v>55</v>
      </c>
      <c r="K187" s="2" t="n">
        <v>0</v>
      </c>
      <c r="L187" s="11" t="n">
        <v>6</v>
      </c>
      <c r="M187" s="2" t="n">
        <f aca="false">K187+L187</f>
        <v>6</v>
      </c>
      <c r="N187" s="2" t="s">
        <v>1281</v>
      </c>
      <c r="O187" s="2" t="s">
        <v>1282</v>
      </c>
      <c r="P187" s="2"/>
      <c r="Q187" s="2" t="s">
        <v>1283</v>
      </c>
    </row>
    <row r="188" customFormat="false" ht="35.05" hidden="false" customHeight="false" outlineLevel="0" collapsed="false">
      <c r="A188" s="2" t="s">
        <v>1284</v>
      </c>
      <c r="B188" s="2" t="s">
        <v>35</v>
      </c>
      <c r="C188" s="2" t="s">
        <v>1248</v>
      </c>
      <c r="D188" s="2" t="s">
        <v>1285</v>
      </c>
      <c r="E188" s="2" t="s">
        <v>1286</v>
      </c>
      <c r="F188" s="2" t="s">
        <v>86</v>
      </c>
      <c r="G188" s="2" t="s">
        <v>61</v>
      </c>
      <c r="H188" s="2" t="s">
        <v>72</v>
      </c>
      <c r="I188" s="2" t="s">
        <v>120</v>
      </c>
      <c r="J188" s="2" t="s">
        <v>56</v>
      </c>
      <c r="K188" s="2" t="n">
        <v>0</v>
      </c>
      <c r="L188" s="11" t="n">
        <v>6</v>
      </c>
      <c r="M188" s="2" t="n">
        <f aca="false">K188+L188</f>
        <v>6</v>
      </c>
      <c r="N188" s="2" t="s">
        <v>1287</v>
      </c>
      <c r="O188" s="2" t="s">
        <v>1288</v>
      </c>
      <c r="P188" s="2"/>
      <c r="Q188" s="2" t="s">
        <v>1289</v>
      </c>
    </row>
    <row r="189" customFormat="false" ht="46.25" hidden="false" customHeight="false" outlineLevel="0" collapsed="false">
      <c r="A189" s="2" t="s">
        <v>1290</v>
      </c>
      <c r="B189" s="2" t="s">
        <v>35</v>
      </c>
      <c r="C189" s="2" t="s">
        <v>1291</v>
      </c>
      <c r="D189" s="2" t="s">
        <v>1292</v>
      </c>
      <c r="E189" s="2" t="s">
        <v>1293</v>
      </c>
      <c r="F189" s="2" t="s">
        <v>101</v>
      </c>
      <c r="G189" s="2" t="s">
        <v>60</v>
      </c>
      <c r="H189" s="2" t="s">
        <v>72</v>
      </c>
      <c r="I189" s="2" t="s">
        <v>391</v>
      </c>
      <c r="J189" s="2" t="s">
        <v>55</v>
      </c>
      <c r="K189" s="2" t="n">
        <v>0</v>
      </c>
      <c r="L189" s="11" t="n">
        <v>7</v>
      </c>
      <c r="M189" s="2" t="n">
        <f aca="false">K189+L189</f>
        <v>7</v>
      </c>
      <c r="N189" s="2" t="s">
        <v>1294</v>
      </c>
      <c r="O189" s="2" t="s">
        <v>1295</v>
      </c>
      <c r="P189" s="2"/>
      <c r="Q189" s="2" t="s">
        <v>1296</v>
      </c>
    </row>
    <row r="190" customFormat="false" ht="23.85" hidden="false" customHeight="false" outlineLevel="0" collapsed="false">
      <c r="A190" s="2" t="s">
        <v>1297</v>
      </c>
      <c r="B190" s="2" t="s">
        <v>35</v>
      </c>
      <c r="C190" s="2" t="s">
        <v>1248</v>
      </c>
      <c r="D190" s="2" t="s">
        <v>1298</v>
      </c>
      <c r="E190" s="2" t="s">
        <v>1299</v>
      </c>
      <c r="F190" s="2" t="s">
        <v>86</v>
      </c>
      <c r="G190" s="2" t="s">
        <v>59</v>
      </c>
      <c r="H190" s="2" t="s">
        <v>69</v>
      </c>
      <c r="I190" s="2" t="s">
        <v>120</v>
      </c>
      <c r="J190" s="2" t="s">
        <v>55</v>
      </c>
      <c r="K190" s="2" t="n">
        <v>0</v>
      </c>
      <c r="L190" s="11" t="n">
        <v>9</v>
      </c>
      <c r="M190" s="2" t="n">
        <f aca="false">K190+L190</f>
        <v>9</v>
      </c>
      <c r="N190" s="2" t="s">
        <v>1300</v>
      </c>
      <c r="O190" s="2" t="s">
        <v>1301</v>
      </c>
      <c r="P190" s="2"/>
      <c r="Q190" s="2" t="s">
        <v>1302</v>
      </c>
    </row>
    <row r="191" customFormat="false" ht="35.05" hidden="false" customHeight="false" outlineLevel="0" collapsed="false">
      <c r="A191" s="2" t="s">
        <v>1303</v>
      </c>
      <c r="B191" s="2" t="s">
        <v>35</v>
      </c>
      <c r="C191" s="2" t="s">
        <v>1248</v>
      </c>
      <c r="D191" s="2" t="s">
        <v>1304</v>
      </c>
      <c r="E191" s="2" t="s">
        <v>1305</v>
      </c>
      <c r="F191" s="2" t="s">
        <v>86</v>
      </c>
      <c r="G191" s="2" t="s">
        <v>63</v>
      </c>
      <c r="H191" s="2" t="s">
        <v>73</v>
      </c>
      <c r="I191" s="2" t="s">
        <v>391</v>
      </c>
      <c r="J191" s="2" t="s">
        <v>55</v>
      </c>
      <c r="K191" s="2" t="n">
        <v>0</v>
      </c>
      <c r="L191" s="11" t="n">
        <v>6</v>
      </c>
      <c r="M191" s="2" t="n">
        <f aca="false">K191+L191</f>
        <v>6</v>
      </c>
      <c r="N191" s="2" t="s">
        <v>1306</v>
      </c>
      <c r="O191" s="2" t="s">
        <v>1307</v>
      </c>
      <c r="P191" s="2"/>
      <c r="Q191" s="2" t="s">
        <v>1308</v>
      </c>
    </row>
    <row r="192" customFormat="false" ht="35.05" hidden="false" customHeight="false" outlineLevel="0" collapsed="false">
      <c r="A192" s="2" t="s">
        <v>1309</v>
      </c>
      <c r="B192" s="2" t="s">
        <v>35</v>
      </c>
      <c r="C192" s="2" t="s">
        <v>1241</v>
      </c>
      <c r="D192" s="2" t="s">
        <v>1310</v>
      </c>
      <c r="E192" s="2" t="s">
        <v>1311</v>
      </c>
      <c r="F192" s="2" t="s">
        <v>101</v>
      </c>
      <c r="G192" s="2" t="s">
        <v>62</v>
      </c>
      <c r="H192" s="2" t="s">
        <v>67</v>
      </c>
      <c r="I192" s="2" t="s">
        <v>391</v>
      </c>
      <c r="J192" s="2" t="s">
        <v>55</v>
      </c>
      <c r="K192" s="2" t="n">
        <v>0</v>
      </c>
      <c r="L192" s="11" t="n">
        <v>6</v>
      </c>
      <c r="M192" s="2" t="n">
        <f aca="false">K192+L192</f>
        <v>6</v>
      </c>
      <c r="N192" s="2" t="s">
        <v>1312</v>
      </c>
      <c r="O192" s="2" t="s">
        <v>1313</v>
      </c>
      <c r="P192" s="2"/>
      <c r="Q192" s="2" t="s">
        <v>1314</v>
      </c>
    </row>
    <row r="193" customFormat="false" ht="46.25" hidden="false" customHeight="false" outlineLevel="0" collapsed="false">
      <c r="A193" s="2" t="s">
        <v>1315</v>
      </c>
      <c r="B193" s="2" t="s">
        <v>35</v>
      </c>
      <c r="C193" s="2" t="s">
        <v>1316</v>
      </c>
      <c r="D193" s="2" t="s">
        <v>1317</v>
      </c>
      <c r="E193" s="2" t="s">
        <v>1318</v>
      </c>
      <c r="F193" s="2" t="s">
        <v>100</v>
      </c>
      <c r="G193" s="2" t="s">
        <v>62</v>
      </c>
      <c r="H193" s="2" t="s">
        <v>73</v>
      </c>
      <c r="I193" s="2" t="s">
        <v>391</v>
      </c>
      <c r="J193" s="2" t="s">
        <v>55</v>
      </c>
      <c r="K193" s="2" t="n">
        <v>0</v>
      </c>
      <c r="L193" s="11" t="n">
        <v>8</v>
      </c>
      <c r="M193" s="2" t="n">
        <f aca="false">K193+L193</f>
        <v>8</v>
      </c>
      <c r="N193" s="2" t="s">
        <v>1319</v>
      </c>
      <c r="O193" s="2" t="s">
        <v>1320</v>
      </c>
      <c r="P193" s="2"/>
      <c r="Q193" s="2" t="s">
        <v>1321</v>
      </c>
    </row>
    <row r="194" customFormat="false" ht="35.05" hidden="false" customHeight="false" outlineLevel="0" collapsed="false">
      <c r="A194" s="2" t="s">
        <v>1322</v>
      </c>
      <c r="B194" s="2" t="s">
        <v>35</v>
      </c>
      <c r="C194" s="2" t="s">
        <v>1323</v>
      </c>
      <c r="D194" s="2" t="s">
        <v>1324</v>
      </c>
      <c r="E194" s="2" t="s">
        <v>1325</v>
      </c>
      <c r="F194" s="2" t="s">
        <v>86</v>
      </c>
      <c r="G194" s="2" t="s">
        <v>61</v>
      </c>
      <c r="H194" s="2" t="s">
        <v>73</v>
      </c>
      <c r="I194" s="2" t="s">
        <v>120</v>
      </c>
      <c r="J194" s="2" t="s">
        <v>55</v>
      </c>
      <c r="K194" s="2" t="n">
        <v>0</v>
      </c>
      <c r="L194" s="11" t="n">
        <v>3</v>
      </c>
      <c r="M194" s="2" t="n">
        <f aca="false">K194+L194</f>
        <v>3</v>
      </c>
      <c r="N194" s="2" t="s">
        <v>1326</v>
      </c>
      <c r="O194" s="2" t="s">
        <v>1327</v>
      </c>
      <c r="P194" s="2"/>
      <c r="Q194" s="2" t="s">
        <v>1328</v>
      </c>
    </row>
    <row r="195" customFormat="false" ht="23.85" hidden="false" customHeight="false" outlineLevel="0" collapsed="false">
      <c r="A195" s="2" t="s">
        <v>1329</v>
      </c>
      <c r="B195" s="2" t="s">
        <v>35</v>
      </c>
      <c r="C195" s="2" t="s">
        <v>1330</v>
      </c>
      <c r="D195" s="2" t="s">
        <v>1331</v>
      </c>
      <c r="E195" s="2" t="s">
        <v>1332</v>
      </c>
      <c r="F195" s="2" t="s">
        <v>87</v>
      </c>
      <c r="G195" s="2" t="s">
        <v>60</v>
      </c>
      <c r="H195" s="2" t="s">
        <v>68</v>
      </c>
      <c r="I195" s="2" t="s">
        <v>391</v>
      </c>
      <c r="J195" s="2" t="s">
        <v>55</v>
      </c>
      <c r="K195" s="2" t="n">
        <v>0</v>
      </c>
      <c r="L195" s="11" t="n">
        <v>4</v>
      </c>
      <c r="M195" s="2" t="n">
        <f aca="false">K195+L195</f>
        <v>4</v>
      </c>
      <c r="N195" s="2" t="s">
        <v>1333</v>
      </c>
      <c r="O195" s="2" t="s">
        <v>1334</v>
      </c>
      <c r="P195" s="2"/>
      <c r="Q195" s="2" t="s">
        <v>1335</v>
      </c>
    </row>
    <row r="196" customFormat="false" ht="23.85" hidden="false" customHeight="false" outlineLevel="0" collapsed="false">
      <c r="A196" s="2" t="s">
        <v>1336</v>
      </c>
      <c r="B196" s="2" t="s">
        <v>35</v>
      </c>
      <c r="C196" s="2" t="s">
        <v>1316</v>
      </c>
      <c r="D196" s="2" t="s">
        <v>1337</v>
      </c>
      <c r="E196" s="2" t="s">
        <v>1338</v>
      </c>
      <c r="F196" s="2" t="s">
        <v>87</v>
      </c>
      <c r="G196" s="2" t="s">
        <v>60</v>
      </c>
      <c r="H196" s="2" t="s">
        <v>69</v>
      </c>
      <c r="I196" s="2" t="s">
        <v>120</v>
      </c>
      <c r="J196" s="2" t="s">
        <v>56</v>
      </c>
      <c r="K196" s="2" t="n">
        <v>0</v>
      </c>
      <c r="L196" s="11" t="n">
        <v>8</v>
      </c>
      <c r="M196" s="2" t="n">
        <f aca="false">K196+L196</f>
        <v>8</v>
      </c>
      <c r="N196" s="2" t="s">
        <v>1339</v>
      </c>
      <c r="O196" s="2" t="s">
        <v>1340</v>
      </c>
      <c r="P196" s="2"/>
      <c r="Q196" s="2" t="s">
        <v>1341</v>
      </c>
    </row>
    <row r="197" customFormat="false" ht="23.85" hidden="false" customHeight="false" outlineLevel="0" collapsed="false">
      <c r="A197" s="2" t="s">
        <v>1342</v>
      </c>
      <c r="B197" s="2" t="s">
        <v>35</v>
      </c>
      <c r="C197" s="2" t="s">
        <v>1330</v>
      </c>
      <c r="D197" s="2" t="s">
        <v>1343</v>
      </c>
      <c r="E197" s="2" t="s">
        <v>1344</v>
      </c>
      <c r="F197" s="2" t="s">
        <v>87</v>
      </c>
      <c r="G197" s="2" t="s">
        <v>60</v>
      </c>
      <c r="H197" s="2" t="s">
        <v>72</v>
      </c>
      <c r="I197" s="2" t="s">
        <v>120</v>
      </c>
      <c r="J197" s="2" t="s">
        <v>56</v>
      </c>
      <c r="K197" s="2" t="n">
        <v>0</v>
      </c>
      <c r="L197" s="11" t="n">
        <v>5</v>
      </c>
      <c r="M197" s="2" t="n">
        <f aca="false">K197+L197</f>
        <v>5</v>
      </c>
      <c r="N197" s="2" t="s">
        <v>1345</v>
      </c>
      <c r="O197" s="2" t="s">
        <v>1346</v>
      </c>
      <c r="P197" s="2"/>
      <c r="Q197" s="2" t="s">
        <v>1347</v>
      </c>
    </row>
    <row r="198" customFormat="false" ht="46.25" hidden="false" customHeight="false" outlineLevel="0" collapsed="false">
      <c r="A198" s="2" t="s">
        <v>1348</v>
      </c>
      <c r="B198" s="2" t="s">
        <v>35</v>
      </c>
      <c r="C198" s="2" t="s">
        <v>1330</v>
      </c>
      <c r="D198" s="2" t="s">
        <v>1349</v>
      </c>
      <c r="E198" s="2" t="s">
        <v>1350</v>
      </c>
      <c r="F198" s="2" t="s">
        <v>87</v>
      </c>
      <c r="G198" s="2" t="s">
        <v>59</v>
      </c>
      <c r="H198" s="2" t="s">
        <v>72</v>
      </c>
      <c r="I198" s="2" t="s">
        <v>120</v>
      </c>
      <c r="J198" s="2" t="s">
        <v>56</v>
      </c>
      <c r="K198" s="2" t="n">
        <v>0</v>
      </c>
      <c r="L198" s="11" t="n">
        <v>5</v>
      </c>
      <c r="M198" s="2" t="n">
        <f aca="false">K198+L198</f>
        <v>5</v>
      </c>
      <c r="N198" s="2" t="s">
        <v>1351</v>
      </c>
      <c r="O198" s="2" t="s">
        <v>1352</v>
      </c>
      <c r="P198" s="2"/>
      <c r="Q198" s="2" t="s">
        <v>1353</v>
      </c>
    </row>
    <row r="199" customFormat="false" ht="79.85" hidden="false" customHeight="false" outlineLevel="0" collapsed="false">
      <c r="A199" s="2" t="s">
        <v>1354</v>
      </c>
      <c r="B199" s="2" t="s">
        <v>35</v>
      </c>
      <c r="C199" s="2" t="s">
        <v>1316</v>
      </c>
      <c r="D199" s="2" t="s">
        <v>1355</v>
      </c>
      <c r="E199" s="2" t="s">
        <v>1356</v>
      </c>
      <c r="F199" s="2" t="s">
        <v>87</v>
      </c>
      <c r="G199" s="2" t="s">
        <v>59</v>
      </c>
      <c r="H199" s="2" t="s">
        <v>72</v>
      </c>
      <c r="I199" s="2" t="s">
        <v>391</v>
      </c>
      <c r="J199" s="2" t="s">
        <v>55</v>
      </c>
      <c r="K199" s="2" t="n">
        <v>0</v>
      </c>
      <c r="L199" s="11" t="n">
        <v>8</v>
      </c>
      <c r="M199" s="2" t="n">
        <f aca="false">K199+L199</f>
        <v>8</v>
      </c>
      <c r="N199" s="2" t="s">
        <v>1357</v>
      </c>
      <c r="O199" s="2" t="s">
        <v>1358</v>
      </c>
      <c r="P199" s="2"/>
      <c r="Q199" s="2" t="s">
        <v>1359</v>
      </c>
    </row>
    <row r="200" customFormat="false" ht="57.45" hidden="false" customHeight="false" outlineLevel="0" collapsed="false">
      <c r="A200" s="2" t="s">
        <v>1360</v>
      </c>
      <c r="B200" s="2" t="s">
        <v>35</v>
      </c>
      <c r="C200" s="2" t="s">
        <v>1316</v>
      </c>
      <c r="D200" s="2" t="s">
        <v>1361</v>
      </c>
      <c r="E200" s="2" t="s">
        <v>1362</v>
      </c>
      <c r="F200" s="2" t="s">
        <v>87</v>
      </c>
      <c r="G200" s="2" t="s">
        <v>64</v>
      </c>
      <c r="H200" s="2" t="s">
        <v>68</v>
      </c>
      <c r="I200" s="2" t="s">
        <v>120</v>
      </c>
      <c r="J200" s="2" t="s">
        <v>56</v>
      </c>
      <c r="K200" s="2" t="n">
        <v>0</v>
      </c>
      <c r="L200" s="11" t="n">
        <v>8</v>
      </c>
      <c r="M200" s="2" t="n">
        <f aca="false">K200+L200</f>
        <v>8</v>
      </c>
      <c r="N200" s="2" t="s">
        <v>1363</v>
      </c>
      <c r="O200" s="2" t="s">
        <v>1364</v>
      </c>
      <c r="P200" s="2"/>
      <c r="Q200" s="2" t="s">
        <v>1365</v>
      </c>
    </row>
    <row r="201" customFormat="false" ht="46.25" hidden="false" customHeight="false" outlineLevel="0" collapsed="false">
      <c r="A201" s="2" t="s">
        <v>1366</v>
      </c>
      <c r="B201" s="2" t="s">
        <v>35</v>
      </c>
      <c r="C201" s="2" t="s">
        <v>1184</v>
      </c>
      <c r="D201" s="2" t="s">
        <v>1367</v>
      </c>
      <c r="E201" s="2" t="s">
        <v>1368</v>
      </c>
      <c r="F201" s="2" t="s">
        <v>87</v>
      </c>
      <c r="G201" s="2" t="s">
        <v>63</v>
      </c>
      <c r="H201" s="2" t="s">
        <v>72</v>
      </c>
      <c r="I201" s="2" t="s">
        <v>391</v>
      </c>
      <c r="J201" s="2" t="s">
        <v>55</v>
      </c>
      <c r="K201" s="2" t="n">
        <v>0</v>
      </c>
      <c r="L201" s="11" t="n">
        <v>8</v>
      </c>
      <c r="M201" s="2" t="n">
        <f aca="false">K201+L201</f>
        <v>8</v>
      </c>
      <c r="N201" s="2" t="s">
        <v>1369</v>
      </c>
      <c r="O201" s="2" t="s">
        <v>1370</v>
      </c>
      <c r="P201" s="2"/>
      <c r="Q201" s="2" t="s">
        <v>1371</v>
      </c>
    </row>
    <row r="202" customFormat="false" ht="46.25" hidden="false" customHeight="false" outlineLevel="0" collapsed="false">
      <c r="A202" s="2" t="s">
        <v>1372</v>
      </c>
      <c r="B202" s="2" t="s">
        <v>35</v>
      </c>
      <c r="C202" s="2" t="s">
        <v>1330</v>
      </c>
      <c r="D202" s="2" t="s">
        <v>1373</v>
      </c>
      <c r="E202" s="2" t="s">
        <v>1374</v>
      </c>
      <c r="F202" s="2" t="s">
        <v>87</v>
      </c>
      <c r="G202" s="2" t="s">
        <v>62</v>
      </c>
      <c r="H202" s="2" t="s">
        <v>74</v>
      </c>
      <c r="I202" s="2" t="s">
        <v>391</v>
      </c>
      <c r="J202" s="2" t="s">
        <v>55</v>
      </c>
      <c r="K202" s="2" t="n">
        <v>0</v>
      </c>
      <c r="L202" s="11" t="n">
        <v>6</v>
      </c>
      <c r="M202" s="2" t="n">
        <f aca="false">K202+L202</f>
        <v>6</v>
      </c>
      <c r="N202" s="2" t="s">
        <v>1375</v>
      </c>
      <c r="O202" s="2" t="s">
        <v>1376</v>
      </c>
      <c r="P202" s="2"/>
      <c r="Q202" s="2" t="s">
        <v>1377</v>
      </c>
    </row>
    <row r="203" customFormat="false" ht="23.85" hidden="false" customHeight="false" outlineLevel="0" collapsed="false">
      <c r="A203" s="2" t="s">
        <v>1378</v>
      </c>
      <c r="B203" s="2" t="s">
        <v>35</v>
      </c>
      <c r="C203" s="2" t="s">
        <v>1330</v>
      </c>
      <c r="D203" s="2" t="s">
        <v>1379</v>
      </c>
      <c r="E203" s="2" t="s">
        <v>1380</v>
      </c>
      <c r="F203" s="2" t="s">
        <v>87</v>
      </c>
      <c r="G203" s="2" t="s">
        <v>62</v>
      </c>
      <c r="H203" s="2" t="s">
        <v>74</v>
      </c>
      <c r="I203" s="2" t="s">
        <v>391</v>
      </c>
      <c r="J203" s="2" t="s">
        <v>55</v>
      </c>
      <c r="K203" s="2" t="n">
        <v>0</v>
      </c>
      <c r="L203" s="11" t="n">
        <v>6</v>
      </c>
      <c r="M203" s="2" t="n">
        <f aca="false">K203+L203</f>
        <v>6</v>
      </c>
      <c r="N203" s="2" t="s">
        <v>1375</v>
      </c>
      <c r="O203" s="2" t="s">
        <v>1381</v>
      </c>
      <c r="P203" s="2"/>
      <c r="Q203" s="2" t="s">
        <v>1382</v>
      </c>
    </row>
    <row r="204" customFormat="false" ht="46.25" hidden="false" customHeight="false" outlineLevel="0" collapsed="false">
      <c r="A204" s="2" t="s">
        <v>1383</v>
      </c>
      <c r="B204" s="2" t="s">
        <v>35</v>
      </c>
      <c r="C204" s="2" t="s">
        <v>1330</v>
      </c>
      <c r="D204" s="2" t="s">
        <v>1384</v>
      </c>
      <c r="E204" s="2" t="s">
        <v>1385</v>
      </c>
      <c r="F204" s="2" t="s">
        <v>87</v>
      </c>
      <c r="G204" s="2" t="s">
        <v>62</v>
      </c>
      <c r="H204" s="2" t="s">
        <v>76</v>
      </c>
      <c r="I204" s="2" t="s">
        <v>391</v>
      </c>
      <c r="J204" s="2" t="s">
        <v>55</v>
      </c>
      <c r="K204" s="2" t="n">
        <v>0</v>
      </c>
      <c r="L204" s="11" t="n">
        <v>6</v>
      </c>
      <c r="M204" s="2" t="n">
        <f aca="false">K204+L204</f>
        <v>6</v>
      </c>
      <c r="N204" s="2" t="s">
        <v>1386</v>
      </c>
      <c r="O204" s="2" t="s">
        <v>1387</v>
      </c>
      <c r="P204" s="2"/>
      <c r="Q204" s="2" t="s">
        <v>1388</v>
      </c>
    </row>
    <row r="205" customFormat="false" ht="23.85" hidden="false" customHeight="false" outlineLevel="0" collapsed="false">
      <c r="A205" s="2" t="s">
        <v>1389</v>
      </c>
      <c r="B205" s="2" t="s">
        <v>35</v>
      </c>
      <c r="C205" s="2" t="s">
        <v>1330</v>
      </c>
      <c r="D205" s="2" t="s">
        <v>1390</v>
      </c>
      <c r="E205" s="2" t="s">
        <v>1391</v>
      </c>
      <c r="F205" s="2" t="s">
        <v>87</v>
      </c>
      <c r="G205" s="2" t="s">
        <v>59</v>
      </c>
      <c r="H205" s="2" t="s">
        <v>71</v>
      </c>
      <c r="I205" s="2" t="s">
        <v>120</v>
      </c>
      <c r="J205" s="2" t="s">
        <v>56</v>
      </c>
      <c r="K205" s="2" t="n">
        <v>0</v>
      </c>
      <c r="L205" s="11" t="n">
        <v>5</v>
      </c>
      <c r="M205" s="2" t="n">
        <f aca="false">K205+L205</f>
        <v>5</v>
      </c>
      <c r="N205" s="2" t="s">
        <v>1392</v>
      </c>
      <c r="O205" s="2" t="s">
        <v>1393</v>
      </c>
      <c r="P205" s="2"/>
      <c r="Q205" s="2" t="s">
        <v>1394</v>
      </c>
    </row>
    <row r="206" customFormat="false" ht="35.05" hidden="false" customHeight="false" outlineLevel="0" collapsed="false">
      <c r="A206" s="2" t="s">
        <v>1395</v>
      </c>
      <c r="B206" s="2" t="s">
        <v>35</v>
      </c>
      <c r="C206" s="2" t="s">
        <v>1396</v>
      </c>
      <c r="D206" s="2" t="s">
        <v>1397</v>
      </c>
      <c r="E206" s="2" t="s">
        <v>1398</v>
      </c>
      <c r="F206" s="2" t="s">
        <v>87</v>
      </c>
      <c r="G206" s="2" t="s">
        <v>62</v>
      </c>
      <c r="H206" s="2" t="s">
        <v>70</v>
      </c>
      <c r="I206" s="2" t="s">
        <v>391</v>
      </c>
      <c r="J206" s="2" t="s">
        <v>55</v>
      </c>
      <c r="K206" s="2" t="n">
        <v>0</v>
      </c>
      <c r="L206" s="11" t="n">
        <v>8</v>
      </c>
      <c r="M206" s="2" t="n">
        <f aca="false">K206+L206</f>
        <v>8</v>
      </c>
      <c r="N206" s="2" t="s">
        <v>1399</v>
      </c>
      <c r="O206" s="2" t="s">
        <v>1400</v>
      </c>
      <c r="P206" s="2"/>
      <c r="Q206" s="2" t="s">
        <v>1401</v>
      </c>
    </row>
    <row r="207" customFormat="false" ht="68.65" hidden="false" customHeight="false" outlineLevel="0" collapsed="false">
      <c r="A207" s="2" t="s">
        <v>1402</v>
      </c>
      <c r="B207" s="2" t="s">
        <v>35</v>
      </c>
      <c r="C207" s="2" t="s">
        <v>1396</v>
      </c>
      <c r="D207" s="2" t="s">
        <v>1403</v>
      </c>
      <c r="E207" s="2" t="s">
        <v>1404</v>
      </c>
      <c r="F207" s="2" t="s">
        <v>87</v>
      </c>
      <c r="G207" s="2" t="s">
        <v>62</v>
      </c>
      <c r="H207" s="2" t="s">
        <v>73</v>
      </c>
      <c r="I207" s="2" t="s">
        <v>120</v>
      </c>
      <c r="J207" s="2" t="s">
        <v>56</v>
      </c>
      <c r="K207" s="2" t="n">
        <v>0</v>
      </c>
      <c r="L207" s="11" t="n">
        <v>5</v>
      </c>
      <c r="M207" s="2" t="n">
        <f aca="false">K207+L207</f>
        <v>5</v>
      </c>
      <c r="N207" s="2" t="s">
        <v>1405</v>
      </c>
      <c r="O207" s="2" t="s">
        <v>1406</v>
      </c>
      <c r="P207" s="2"/>
      <c r="Q207" s="2" t="s">
        <v>1407</v>
      </c>
    </row>
    <row r="208" customFormat="false" ht="46.25" hidden="false" customHeight="false" outlineLevel="0" collapsed="false">
      <c r="A208" s="2" t="s">
        <v>1408</v>
      </c>
      <c r="B208" s="2" t="s">
        <v>35</v>
      </c>
      <c r="C208" s="2" t="s">
        <v>1316</v>
      </c>
      <c r="D208" s="2" t="s">
        <v>1409</v>
      </c>
      <c r="E208" s="2" t="s">
        <v>1410</v>
      </c>
      <c r="F208" s="2" t="s">
        <v>100</v>
      </c>
      <c r="G208" s="2" t="s">
        <v>60</v>
      </c>
      <c r="H208" s="2" t="s">
        <v>72</v>
      </c>
      <c r="I208" s="2" t="s">
        <v>120</v>
      </c>
      <c r="J208" s="2" t="s">
        <v>55</v>
      </c>
      <c r="K208" s="2" t="n">
        <v>0</v>
      </c>
      <c r="L208" s="11" t="n">
        <v>7</v>
      </c>
      <c r="M208" s="2" t="n">
        <f aca="false">K208+L208</f>
        <v>7</v>
      </c>
      <c r="N208" s="2" t="s">
        <v>1357</v>
      </c>
      <c r="O208" s="2" t="s">
        <v>1411</v>
      </c>
      <c r="P208" s="2"/>
      <c r="Q208" s="2" t="s">
        <v>1412</v>
      </c>
    </row>
    <row r="209" customFormat="false" ht="23.85" hidden="false" customHeight="false" outlineLevel="0" collapsed="false">
      <c r="A209" s="2" t="s">
        <v>1413</v>
      </c>
      <c r="B209" s="2" t="s">
        <v>35</v>
      </c>
      <c r="C209" s="2" t="s">
        <v>1330</v>
      </c>
      <c r="D209" s="2" t="s">
        <v>1414</v>
      </c>
      <c r="E209" s="2" t="s">
        <v>1415</v>
      </c>
      <c r="F209" s="2" t="s">
        <v>87</v>
      </c>
      <c r="G209" s="2" t="s">
        <v>62</v>
      </c>
      <c r="H209" s="2" t="s">
        <v>68</v>
      </c>
      <c r="I209" s="2" t="s">
        <v>120</v>
      </c>
      <c r="J209" s="2" t="s">
        <v>55</v>
      </c>
      <c r="K209" s="2" t="n">
        <v>0</v>
      </c>
      <c r="L209" s="11" t="n">
        <v>3</v>
      </c>
      <c r="M209" s="2" t="n">
        <f aca="false">K209+L209</f>
        <v>3</v>
      </c>
      <c r="N209" s="2" t="s">
        <v>1416</v>
      </c>
      <c r="O209" s="2" t="s">
        <v>1417</v>
      </c>
      <c r="P209" s="2"/>
      <c r="Q209" s="2" t="s">
        <v>1418</v>
      </c>
    </row>
    <row r="210" customFormat="false" ht="23.85" hidden="false" customHeight="false" outlineLevel="0" collapsed="false">
      <c r="A210" s="2" t="s">
        <v>1419</v>
      </c>
      <c r="B210" s="2" t="s">
        <v>35</v>
      </c>
      <c r="C210" s="2" t="s">
        <v>1038</v>
      </c>
      <c r="D210" s="2" t="s">
        <v>1420</v>
      </c>
      <c r="E210" s="2" t="s">
        <v>1421</v>
      </c>
      <c r="F210" s="2" t="s">
        <v>78</v>
      </c>
      <c r="G210" s="2" t="s">
        <v>62</v>
      </c>
      <c r="H210" s="2" t="s">
        <v>75</v>
      </c>
      <c r="I210" s="2" t="s">
        <v>120</v>
      </c>
      <c r="J210" s="2" t="s">
        <v>56</v>
      </c>
      <c r="K210" s="2" t="n">
        <v>0</v>
      </c>
      <c r="L210" s="11" t="n">
        <v>5</v>
      </c>
      <c r="M210" s="2" t="n">
        <f aca="false">K210+L210</f>
        <v>5</v>
      </c>
      <c r="N210" s="2" t="s">
        <v>1080</v>
      </c>
      <c r="O210" s="2" t="s">
        <v>1422</v>
      </c>
      <c r="P210" s="2"/>
      <c r="Q210" s="2" t="s">
        <v>1423</v>
      </c>
    </row>
    <row r="211" customFormat="false" ht="23.85" hidden="false" customHeight="false" outlineLevel="0" collapsed="false">
      <c r="A211" s="2" t="s">
        <v>1424</v>
      </c>
      <c r="B211" s="2" t="s">
        <v>35</v>
      </c>
      <c r="C211" s="2" t="s">
        <v>1038</v>
      </c>
      <c r="D211" s="2" t="s">
        <v>1425</v>
      </c>
      <c r="E211" s="2" t="s">
        <v>1426</v>
      </c>
      <c r="F211" s="2" t="s">
        <v>78</v>
      </c>
      <c r="G211" s="2" t="s">
        <v>62</v>
      </c>
      <c r="H211" s="2" t="s">
        <v>75</v>
      </c>
      <c r="I211" s="2" t="s">
        <v>120</v>
      </c>
      <c r="J211" s="2" t="s">
        <v>56</v>
      </c>
      <c r="K211" s="2" t="n">
        <v>0</v>
      </c>
      <c r="L211" s="11" t="n">
        <v>5</v>
      </c>
      <c r="M211" s="2" t="n">
        <f aca="false">K211+L211</f>
        <v>5</v>
      </c>
      <c r="N211" s="2" t="s">
        <v>1427</v>
      </c>
      <c r="O211" s="2" t="s">
        <v>1428</v>
      </c>
      <c r="P211" s="2"/>
      <c r="Q211" s="2" t="s">
        <v>1429</v>
      </c>
    </row>
    <row r="212" customFormat="false" ht="46.25" hidden="false" customHeight="false" outlineLevel="0" collapsed="false">
      <c r="A212" s="2" t="s">
        <v>1430</v>
      </c>
      <c r="B212" s="2" t="s">
        <v>35</v>
      </c>
      <c r="C212" s="2" t="s">
        <v>1316</v>
      </c>
      <c r="D212" s="2" t="s">
        <v>1431</v>
      </c>
      <c r="E212" s="2" t="s">
        <v>1432</v>
      </c>
      <c r="F212" s="2" t="s">
        <v>87</v>
      </c>
      <c r="G212" s="2" t="s">
        <v>62</v>
      </c>
      <c r="H212" s="2" t="s">
        <v>71</v>
      </c>
      <c r="I212" s="2" t="s">
        <v>120</v>
      </c>
      <c r="J212" s="2" t="s">
        <v>56</v>
      </c>
      <c r="K212" s="2" t="n">
        <v>0</v>
      </c>
      <c r="L212" s="11" t="n">
        <v>6</v>
      </c>
      <c r="M212" s="2" t="n">
        <f aca="false">K212+L212</f>
        <v>6</v>
      </c>
      <c r="N212" s="2" t="s">
        <v>1433</v>
      </c>
      <c r="O212" s="2" t="s">
        <v>1434</v>
      </c>
      <c r="P212" s="2"/>
      <c r="Q212" s="2" t="s">
        <v>1435</v>
      </c>
    </row>
    <row r="213" customFormat="false" ht="35.05" hidden="false" customHeight="false" outlineLevel="0" collapsed="false">
      <c r="A213" s="2" t="s">
        <v>1436</v>
      </c>
      <c r="B213" s="2" t="s">
        <v>35</v>
      </c>
      <c r="C213" s="2" t="s">
        <v>1038</v>
      </c>
      <c r="D213" s="2" t="s">
        <v>1437</v>
      </c>
      <c r="E213" s="2" t="s">
        <v>1438</v>
      </c>
      <c r="F213" s="2" t="s">
        <v>100</v>
      </c>
      <c r="G213" s="2" t="s">
        <v>65</v>
      </c>
      <c r="H213" s="2" t="s">
        <v>72</v>
      </c>
      <c r="I213" s="2" t="s">
        <v>120</v>
      </c>
      <c r="J213" s="2" t="s">
        <v>56</v>
      </c>
      <c r="K213" s="2" t="n">
        <v>0</v>
      </c>
      <c r="L213" s="11" t="n">
        <v>6</v>
      </c>
      <c r="M213" s="2" t="n">
        <f aca="false">K213+L213</f>
        <v>6</v>
      </c>
      <c r="N213" s="2" t="s">
        <v>1439</v>
      </c>
      <c r="O213" s="2" t="s">
        <v>1440</v>
      </c>
      <c r="P213" s="2"/>
      <c r="Q213" s="2" t="s">
        <v>1441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34"/>
    <col collapsed="false" customWidth="true" hidden="false" outlineLevel="0" max="16" min="4" style="0" width="6"/>
    <col collapsed="false" customWidth="true" hidden="false" outlineLevel="0" max="17" min="17" style="0" width="8"/>
    <col collapsed="false" customWidth="true" hidden="false" outlineLevel="0" max="18" min="18" style="0" width="18"/>
  </cols>
  <sheetData>
    <row r="1" customFormat="false" ht="15" hidden="false" customHeight="false" outlineLevel="0" collapsed="false">
      <c r="A1" s="10" t="s">
        <v>104</v>
      </c>
      <c r="B1" s="10" t="s">
        <v>26</v>
      </c>
      <c r="C1" s="10" t="s">
        <v>106</v>
      </c>
      <c r="D1" s="10" t="s">
        <v>1442</v>
      </c>
      <c r="E1" s="10" t="s">
        <v>1443</v>
      </c>
      <c r="F1" s="10" t="s">
        <v>1444</v>
      </c>
      <c r="G1" s="10" t="s">
        <v>1445</v>
      </c>
      <c r="H1" s="10" t="s">
        <v>1446</v>
      </c>
      <c r="I1" s="10" t="s">
        <v>1447</v>
      </c>
      <c r="J1" s="10" t="s">
        <v>1448</v>
      </c>
      <c r="K1" s="10" t="s">
        <v>1449</v>
      </c>
      <c r="L1" s="10" t="s">
        <v>1450</v>
      </c>
      <c r="M1" s="10" t="s">
        <v>1451</v>
      </c>
      <c r="N1" s="10" t="s">
        <v>1452</v>
      </c>
      <c r="O1" s="10" t="s">
        <v>1453</v>
      </c>
      <c r="P1" s="10" t="s">
        <v>1454</v>
      </c>
      <c r="Q1" s="10" t="s">
        <v>1455</v>
      </c>
      <c r="R1" s="10" t="s">
        <v>1456</v>
      </c>
    </row>
    <row r="2" customFormat="false" ht="15" hidden="false" customHeight="false" outlineLevel="0" collapsed="false">
      <c r="A2" s="2" t="s">
        <v>116</v>
      </c>
      <c r="B2" s="2" t="s">
        <v>32</v>
      </c>
      <c r="C2" s="2" t="s">
        <v>118</v>
      </c>
      <c r="D2" s="11" t="n">
        <v>10</v>
      </c>
      <c r="E2" s="11"/>
      <c r="F2" s="11"/>
      <c r="G2" s="11"/>
      <c r="H2" s="11"/>
      <c r="I2" s="11"/>
      <c r="J2" s="11"/>
      <c r="K2" s="11"/>
      <c r="L2" s="11"/>
      <c r="M2" s="11"/>
      <c r="N2" s="11"/>
      <c r="O2" s="11"/>
      <c r="P2" s="11"/>
      <c r="Q2" s="2" t="n">
        <f aca="false">SUM(D2:P2)</f>
        <v>10</v>
      </c>
      <c r="R2" s="2" t="str">
        <f aca="false">IF(Q2=Topics!M2,"ok","differs from Topics")</f>
        <v>ok</v>
      </c>
    </row>
    <row r="3" customFormat="false" ht="15" hidden="false" customHeight="false" outlineLevel="0" collapsed="false">
      <c r="A3" s="2" t="s">
        <v>124</v>
      </c>
      <c r="B3" s="2" t="s">
        <v>32</v>
      </c>
      <c r="C3" s="2" t="s">
        <v>126</v>
      </c>
      <c r="D3" s="11" t="n">
        <v>7</v>
      </c>
      <c r="E3" s="11" t="n">
        <v>5</v>
      </c>
      <c r="F3" s="11"/>
      <c r="G3" s="11"/>
      <c r="H3" s="11"/>
      <c r="I3" s="11"/>
      <c r="J3" s="11"/>
      <c r="K3" s="11"/>
      <c r="L3" s="11"/>
      <c r="M3" s="11"/>
      <c r="N3" s="11"/>
      <c r="O3" s="11"/>
      <c r="P3" s="11"/>
      <c r="Q3" s="2" t="n">
        <f aca="false">SUM(D3:P3)</f>
        <v>12</v>
      </c>
      <c r="R3" s="2" t="str">
        <f aca="false">IF(Q3=Topics!M3,"ok","differs from Topics")</f>
        <v>ok</v>
      </c>
    </row>
    <row r="4" customFormat="false" ht="15" hidden="false" customHeight="false" outlineLevel="0" collapsed="false">
      <c r="A4" s="2" t="s">
        <v>131</v>
      </c>
      <c r="B4" s="2" t="s">
        <v>32</v>
      </c>
      <c r="C4" s="2" t="s">
        <v>132</v>
      </c>
      <c r="D4" s="11" t="n">
        <v>6</v>
      </c>
      <c r="E4" s="11" t="n">
        <v>4</v>
      </c>
      <c r="F4" s="11"/>
      <c r="G4" s="11"/>
      <c r="H4" s="11"/>
      <c r="I4" s="11"/>
      <c r="J4" s="11"/>
      <c r="K4" s="11"/>
      <c r="L4" s="11"/>
      <c r="M4" s="11"/>
      <c r="N4" s="11"/>
      <c r="O4" s="11"/>
      <c r="P4" s="11"/>
      <c r="Q4" s="2" t="n">
        <f aca="false">SUM(D4:P4)</f>
        <v>10</v>
      </c>
      <c r="R4" s="2" t="str">
        <f aca="false">IF(Q4=Topics!M4,"ok","differs from Topics")</f>
        <v>ok</v>
      </c>
    </row>
    <row r="5" customFormat="false" ht="15" hidden="false" customHeight="false" outlineLevel="0" collapsed="false">
      <c r="A5" s="2" t="s">
        <v>137</v>
      </c>
      <c r="B5" s="2" t="s">
        <v>32</v>
      </c>
      <c r="C5" s="2" t="s">
        <v>138</v>
      </c>
      <c r="D5" s="11" t="n">
        <v>6</v>
      </c>
      <c r="E5" s="11" t="n">
        <v>4</v>
      </c>
      <c r="F5" s="11"/>
      <c r="G5" s="11"/>
      <c r="H5" s="11"/>
      <c r="I5" s="11"/>
      <c r="J5" s="11"/>
      <c r="K5" s="11"/>
      <c r="L5" s="11"/>
      <c r="M5" s="11"/>
      <c r="N5" s="11"/>
      <c r="O5" s="11"/>
      <c r="P5" s="11"/>
      <c r="Q5" s="2" t="n">
        <f aca="false">SUM(D5:P5)</f>
        <v>10</v>
      </c>
      <c r="R5" s="2" t="str">
        <f aca="false">IF(Q5=Topics!M5,"ok","differs from Topics")</f>
        <v>ok</v>
      </c>
    </row>
    <row r="6" customFormat="false" ht="15" hidden="false" customHeight="false" outlineLevel="0" collapsed="false">
      <c r="A6" s="2" t="s">
        <v>143</v>
      </c>
      <c r="B6" s="2" t="s">
        <v>32</v>
      </c>
      <c r="C6" s="2" t="s">
        <v>144</v>
      </c>
      <c r="D6" s="11" t="n">
        <v>6</v>
      </c>
      <c r="E6" s="11" t="n">
        <v>4</v>
      </c>
      <c r="F6" s="11"/>
      <c r="G6" s="11"/>
      <c r="H6" s="11"/>
      <c r="I6" s="11"/>
      <c r="J6" s="11"/>
      <c r="K6" s="11"/>
      <c r="L6" s="11"/>
      <c r="M6" s="11"/>
      <c r="N6" s="11"/>
      <c r="O6" s="11"/>
      <c r="P6" s="11"/>
      <c r="Q6" s="2" t="n">
        <f aca="false">SUM(D6:P6)</f>
        <v>10</v>
      </c>
      <c r="R6" s="2" t="str">
        <f aca="false">IF(Q6=Topics!M6,"ok","differs from Topics")</f>
        <v>ok</v>
      </c>
    </row>
    <row r="7" customFormat="false" ht="15" hidden="false" customHeight="false" outlineLevel="0" collapsed="false">
      <c r="A7" s="2" t="s">
        <v>149</v>
      </c>
      <c r="B7" s="2" t="s">
        <v>32</v>
      </c>
      <c r="C7" s="2" t="s">
        <v>151</v>
      </c>
      <c r="D7" s="11" t="n">
        <v>5</v>
      </c>
      <c r="E7" s="11" t="n">
        <v>3</v>
      </c>
      <c r="F7" s="11" t="n">
        <v>2</v>
      </c>
      <c r="G7" s="11"/>
      <c r="H7" s="11"/>
      <c r="I7" s="11"/>
      <c r="J7" s="11"/>
      <c r="K7" s="11"/>
      <c r="L7" s="11"/>
      <c r="M7" s="11"/>
      <c r="N7" s="11"/>
      <c r="O7" s="11"/>
      <c r="P7" s="11"/>
      <c r="Q7" s="2" t="n">
        <f aca="false">SUM(D7:P7)</f>
        <v>10</v>
      </c>
      <c r="R7" s="2" t="str">
        <f aca="false">IF(Q7=Topics!M7,"ok","differs from Topics")</f>
        <v>ok</v>
      </c>
    </row>
    <row r="8" customFormat="false" ht="15" hidden="false" customHeight="false" outlineLevel="0" collapsed="false">
      <c r="A8" s="2" t="s">
        <v>156</v>
      </c>
      <c r="B8" s="2" t="s">
        <v>32</v>
      </c>
      <c r="C8" s="2" t="s">
        <v>157</v>
      </c>
      <c r="D8" s="11" t="n">
        <v>6</v>
      </c>
      <c r="E8" s="11"/>
      <c r="F8" s="11"/>
      <c r="G8" s="11"/>
      <c r="H8" s="11"/>
      <c r="I8" s="11"/>
      <c r="J8" s="11"/>
      <c r="K8" s="11"/>
      <c r="L8" s="11"/>
      <c r="M8" s="11"/>
      <c r="N8" s="11"/>
      <c r="O8" s="11"/>
      <c r="P8" s="11"/>
      <c r="Q8" s="2" t="n">
        <f aca="false">SUM(D8:P8)</f>
        <v>6</v>
      </c>
      <c r="R8" s="2" t="str">
        <f aca="false">IF(Q8=Topics!M8,"ok","differs from Topics")</f>
        <v>ok</v>
      </c>
    </row>
    <row r="9" customFormat="false" ht="15" hidden="false" customHeight="false" outlineLevel="0" collapsed="false">
      <c r="A9" s="2" t="s">
        <v>162</v>
      </c>
      <c r="B9" s="2" t="s">
        <v>32</v>
      </c>
      <c r="C9" s="2" t="s">
        <v>164</v>
      </c>
      <c r="D9" s="11"/>
      <c r="E9" s="11" t="n">
        <v>8</v>
      </c>
      <c r="F9" s="11"/>
      <c r="G9" s="11"/>
      <c r="H9" s="11"/>
      <c r="I9" s="11"/>
      <c r="J9" s="11"/>
      <c r="K9" s="11"/>
      <c r="L9" s="11"/>
      <c r="M9" s="11"/>
      <c r="N9" s="11"/>
      <c r="O9" s="11"/>
      <c r="P9" s="11"/>
      <c r="Q9" s="2" t="n">
        <f aca="false">SUM(D9:P9)</f>
        <v>8</v>
      </c>
      <c r="R9" s="2" t="str">
        <f aca="false">IF(Q9=Topics!M9,"ok","differs from Topics")</f>
        <v>ok</v>
      </c>
    </row>
    <row r="10" customFormat="false" ht="15" hidden="false" customHeight="false" outlineLevel="0" collapsed="false">
      <c r="A10" s="2" t="s">
        <v>169</v>
      </c>
      <c r="B10" s="2" t="s">
        <v>32</v>
      </c>
      <c r="C10" s="2" t="s">
        <v>170</v>
      </c>
      <c r="D10" s="11"/>
      <c r="E10" s="11" t="n">
        <v>7</v>
      </c>
      <c r="F10" s="11"/>
      <c r="G10" s="11"/>
      <c r="H10" s="11"/>
      <c r="I10" s="11"/>
      <c r="J10" s="11"/>
      <c r="K10" s="11"/>
      <c r="L10" s="11"/>
      <c r="M10" s="11"/>
      <c r="N10" s="11"/>
      <c r="O10" s="11"/>
      <c r="P10" s="11"/>
      <c r="Q10" s="2" t="n">
        <f aca="false">SUM(D10:P10)</f>
        <v>7</v>
      </c>
      <c r="R10" s="2" t="str">
        <f aca="false">IF(Q10=Topics!M10,"ok","differs from Topics")</f>
        <v>ok</v>
      </c>
    </row>
    <row r="11" customFormat="false" ht="15" hidden="false" customHeight="false" outlineLevel="0" collapsed="false">
      <c r="A11" s="2" t="s">
        <v>175</v>
      </c>
      <c r="B11" s="2" t="s">
        <v>32</v>
      </c>
      <c r="C11" s="2" t="s">
        <v>176</v>
      </c>
      <c r="D11" s="11"/>
      <c r="E11" s="11" t="n">
        <v>6</v>
      </c>
      <c r="F11" s="11"/>
      <c r="G11" s="11"/>
      <c r="H11" s="11"/>
      <c r="I11" s="11"/>
      <c r="J11" s="11"/>
      <c r="K11" s="11"/>
      <c r="L11" s="11"/>
      <c r="M11" s="11"/>
      <c r="N11" s="11"/>
      <c r="O11" s="11"/>
      <c r="P11" s="11"/>
      <c r="Q11" s="2" t="n">
        <f aca="false">SUM(D11:P11)</f>
        <v>6</v>
      </c>
      <c r="R11" s="2" t="str">
        <f aca="false">IF(Q11=Topics!M11,"ok","differs from Topics")</f>
        <v>ok</v>
      </c>
    </row>
    <row r="12" customFormat="false" ht="15" hidden="false" customHeight="false" outlineLevel="0" collapsed="false">
      <c r="A12" s="2" t="s">
        <v>181</v>
      </c>
      <c r="B12" s="2" t="s">
        <v>32</v>
      </c>
      <c r="C12" s="2" t="s">
        <v>182</v>
      </c>
      <c r="D12" s="11"/>
      <c r="E12" s="11" t="n">
        <v>6</v>
      </c>
      <c r="F12" s="11"/>
      <c r="G12" s="11"/>
      <c r="H12" s="11"/>
      <c r="I12" s="11"/>
      <c r="J12" s="11"/>
      <c r="K12" s="11"/>
      <c r="L12" s="11"/>
      <c r="M12" s="11"/>
      <c r="N12" s="11"/>
      <c r="O12" s="11"/>
      <c r="P12" s="11"/>
      <c r="Q12" s="2" t="n">
        <f aca="false">SUM(D12:P12)</f>
        <v>6</v>
      </c>
      <c r="R12" s="2" t="str">
        <f aca="false">IF(Q12=Topics!M12,"ok","differs from Topics")</f>
        <v>ok</v>
      </c>
    </row>
    <row r="13" customFormat="false" ht="15" hidden="false" customHeight="false" outlineLevel="0" collapsed="false">
      <c r="A13" s="2" t="s">
        <v>187</v>
      </c>
      <c r="B13" s="2" t="s">
        <v>32</v>
      </c>
      <c r="C13" s="2" t="s">
        <v>188</v>
      </c>
      <c r="D13" s="11"/>
      <c r="E13" s="11" t="n">
        <v>6</v>
      </c>
      <c r="F13" s="11"/>
      <c r="G13" s="11"/>
      <c r="H13" s="11"/>
      <c r="I13" s="11"/>
      <c r="J13" s="11"/>
      <c r="K13" s="11"/>
      <c r="L13" s="11"/>
      <c r="M13" s="11"/>
      <c r="N13" s="11"/>
      <c r="O13" s="11"/>
      <c r="P13" s="11"/>
      <c r="Q13" s="2" t="n">
        <f aca="false">SUM(D13:P13)</f>
        <v>6</v>
      </c>
      <c r="R13" s="2" t="str">
        <f aca="false">IF(Q13=Topics!M13,"ok","differs from Topics")</f>
        <v>ok</v>
      </c>
    </row>
    <row r="14" customFormat="false" ht="15" hidden="false" customHeight="false" outlineLevel="0" collapsed="false">
      <c r="A14" s="2" t="s">
        <v>193</v>
      </c>
      <c r="B14" s="2" t="s">
        <v>32</v>
      </c>
      <c r="C14" s="2" t="s">
        <v>195</v>
      </c>
      <c r="D14" s="11"/>
      <c r="E14" s="11"/>
      <c r="F14" s="11" t="n">
        <v>9</v>
      </c>
      <c r="G14" s="11"/>
      <c r="H14" s="11"/>
      <c r="I14" s="11"/>
      <c r="J14" s="11"/>
      <c r="K14" s="11"/>
      <c r="L14" s="11"/>
      <c r="M14" s="11"/>
      <c r="N14" s="11"/>
      <c r="O14" s="11"/>
      <c r="P14" s="11"/>
      <c r="Q14" s="2" t="n">
        <f aca="false">SUM(D14:P14)</f>
        <v>9</v>
      </c>
      <c r="R14" s="2" t="str">
        <f aca="false">IF(Q14=Topics!M14,"ok","differs from Topics")</f>
        <v>ok</v>
      </c>
    </row>
    <row r="15" customFormat="false" ht="15" hidden="false" customHeight="false" outlineLevel="0" collapsed="false">
      <c r="A15" s="2" t="s">
        <v>200</v>
      </c>
      <c r="B15" s="2" t="s">
        <v>32</v>
      </c>
      <c r="C15" s="2" t="s">
        <v>201</v>
      </c>
      <c r="D15" s="11"/>
      <c r="E15" s="11"/>
      <c r="F15" s="11" t="n">
        <v>6</v>
      </c>
      <c r="G15" s="11"/>
      <c r="H15" s="11"/>
      <c r="I15" s="11"/>
      <c r="J15" s="11"/>
      <c r="K15" s="11"/>
      <c r="L15" s="11"/>
      <c r="M15" s="11"/>
      <c r="N15" s="11"/>
      <c r="O15" s="11"/>
      <c r="P15" s="11"/>
      <c r="Q15" s="2" t="n">
        <f aca="false">SUM(D15:P15)</f>
        <v>6</v>
      </c>
      <c r="R15" s="2" t="str">
        <f aca="false">IF(Q15=Topics!M15,"ok","differs from Topics")</f>
        <v>ok</v>
      </c>
    </row>
    <row r="16" customFormat="false" ht="15" hidden="false" customHeight="false" outlineLevel="0" collapsed="false">
      <c r="A16" s="2" t="s">
        <v>206</v>
      </c>
      <c r="B16" s="2" t="s">
        <v>32</v>
      </c>
      <c r="C16" s="2" t="s">
        <v>207</v>
      </c>
      <c r="D16" s="11"/>
      <c r="E16" s="11"/>
      <c r="F16" s="11" t="n">
        <v>6</v>
      </c>
      <c r="G16" s="11"/>
      <c r="H16" s="11"/>
      <c r="I16" s="11"/>
      <c r="J16" s="11"/>
      <c r="K16" s="11"/>
      <c r="L16" s="11"/>
      <c r="M16" s="11"/>
      <c r="N16" s="11"/>
      <c r="O16" s="11"/>
      <c r="P16" s="11"/>
      <c r="Q16" s="2" t="n">
        <f aca="false">SUM(D16:P16)</f>
        <v>6</v>
      </c>
      <c r="R16" s="2" t="str">
        <f aca="false">IF(Q16=Topics!M16,"ok","differs from Topics")</f>
        <v>ok</v>
      </c>
    </row>
    <row r="17" customFormat="false" ht="15" hidden="false" customHeight="false" outlineLevel="0" collapsed="false">
      <c r="A17" s="2" t="s">
        <v>212</v>
      </c>
      <c r="B17" s="2" t="s">
        <v>32</v>
      </c>
      <c r="C17" s="2" t="s">
        <v>213</v>
      </c>
      <c r="D17" s="11"/>
      <c r="E17" s="11"/>
      <c r="F17" s="11" t="n">
        <v>10</v>
      </c>
      <c r="G17" s="11"/>
      <c r="H17" s="11"/>
      <c r="I17" s="11"/>
      <c r="J17" s="11"/>
      <c r="K17" s="11"/>
      <c r="L17" s="11"/>
      <c r="M17" s="11"/>
      <c r="N17" s="11"/>
      <c r="O17" s="11"/>
      <c r="P17" s="11"/>
      <c r="Q17" s="2" t="n">
        <f aca="false">SUM(D17:P17)</f>
        <v>10</v>
      </c>
      <c r="R17" s="2" t="str">
        <f aca="false">IF(Q17=Topics!M17,"ok","differs from Topics")</f>
        <v>ok</v>
      </c>
    </row>
    <row r="18" customFormat="false" ht="15" hidden="false" customHeight="false" outlineLevel="0" collapsed="false">
      <c r="A18" s="2" t="s">
        <v>218</v>
      </c>
      <c r="B18" s="2" t="s">
        <v>32</v>
      </c>
      <c r="C18" s="2" t="s">
        <v>219</v>
      </c>
      <c r="D18" s="11"/>
      <c r="E18" s="11"/>
      <c r="F18" s="11" t="n">
        <v>6</v>
      </c>
      <c r="G18" s="11"/>
      <c r="H18" s="11"/>
      <c r="I18" s="11"/>
      <c r="J18" s="11"/>
      <c r="K18" s="11"/>
      <c r="L18" s="11"/>
      <c r="M18" s="11"/>
      <c r="N18" s="11"/>
      <c r="O18" s="11"/>
      <c r="P18" s="11"/>
      <c r="Q18" s="2" t="n">
        <f aca="false">SUM(D18:P18)</f>
        <v>6</v>
      </c>
      <c r="R18" s="2" t="str">
        <f aca="false">IF(Q18=Topics!M18,"ok","differs from Topics")</f>
        <v>ok</v>
      </c>
    </row>
    <row r="19" customFormat="false" ht="15" hidden="false" customHeight="false" outlineLevel="0" collapsed="false">
      <c r="A19" s="2" t="s">
        <v>224</v>
      </c>
      <c r="B19" s="2" t="s">
        <v>32</v>
      </c>
      <c r="C19" s="2" t="s">
        <v>226</v>
      </c>
      <c r="D19" s="11"/>
      <c r="E19" s="11" t="n">
        <v>3</v>
      </c>
      <c r="F19" s="11" t="n">
        <v>5</v>
      </c>
      <c r="G19" s="11"/>
      <c r="H19" s="11"/>
      <c r="I19" s="11"/>
      <c r="J19" s="11"/>
      <c r="K19" s="11"/>
      <c r="L19" s="11"/>
      <c r="M19" s="11"/>
      <c r="N19" s="11"/>
      <c r="O19" s="11"/>
      <c r="P19" s="11"/>
      <c r="Q19" s="2" t="n">
        <f aca="false">SUM(D19:P19)</f>
        <v>8</v>
      </c>
      <c r="R19" s="2" t="str">
        <f aca="false">IF(Q19=Topics!M19,"ok","differs from Topics")</f>
        <v>ok</v>
      </c>
    </row>
    <row r="20" customFormat="false" ht="15" hidden="false" customHeight="false" outlineLevel="0" collapsed="false">
      <c r="A20" s="2" t="s">
        <v>231</v>
      </c>
      <c r="B20" s="2" t="s">
        <v>32</v>
      </c>
      <c r="C20" s="2" t="s">
        <v>232</v>
      </c>
      <c r="D20" s="11"/>
      <c r="E20" s="11"/>
      <c r="F20" s="11" t="n">
        <v>6</v>
      </c>
      <c r="G20" s="11"/>
      <c r="H20" s="11"/>
      <c r="I20" s="11"/>
      <c r="J20" s="11"/>
      <c r="K20" s="11"/>
      <c r="L20" s="11"/>
      <c r="M20" s="11"/>
      <c r="N20" s="11"/>
      <c r="O20" s="11"/>
      <c r="P20" s="11"/>
      <c r="Q20" s="2" t="n">
        <f aca="false">SUM(D20:P20)</f>
        <v>6</v>
      </c>
      <c r="R20" s="2" t="str">
        <f aca="false">IF(Q20=Topics!M20,"ok","differs from Topics")</f>
        <v>ok</v>
      </c>
    </row>
    <row r="21" customFormat="false" ht="15" hidden="false" customHeight="false" outlineLevel="0" collapsed="false">
      <c r="A21" s="2" t="s">
        <v>237</v>
      </c>
      <c r="B21" s="2" t="s">
        <v>32</v>
      </c>
      <c r="C21" s="2" t="s">
        <v>238</v>
      </c>
      <c r="D21" s="11"/>
      <c r="E21" s="11"/>
      <c r="F21" s="11" t="n">
        <v>8</v>
      </c>
      <c r="G21" s="11"/>
      <c r="H21" s="11"/>
      <c r="I21" s="11"/>
      <c r="J21" s="11"/>
      <c r="K21" s="11"/>
      <c r="L21" s="11"/>
      <c r="M21" s="11"/>
      <c r="N21" s="11"/>
      <c r="O21" s="11"/>
      <c r="P21" s="11"/>
      <c r="Q21" s="2" t="n">
        <f aca="false">SUM(D21:P21)</f>
        <v>8</v>
      </c>
      <c r="R21" s="2" t="str">
        <f aca="false">IF(Q21=Topics!M21,"ok","differs from Topics")</f>
        <v>ok</v>
      </c>
    </row>
    <row r="22" customFormat="false" ht="15" hidden="false" customHeight="false" outlineLevel="0" collapsed="false">
      <c r="A22" s="2" t="s">
        <v>243</v>
      </c>
      <c r="B22" s="2" t="s">
        <v>32</v>
      </c>
      <c r="C22" s="2" t="s">
        <v>244</v>
      </c>
      <c r="D22" s="11"/>
      <c r="E22" s="11"/>
      <c r="F22" s="11" t="n">
        <v>8</v>
      </c>
      <c r="G22" s="11"/>
      <c r="H22" s="11"/>
      <c r="I22" s="11"/>
      <c r="J22" s="11"/>
      <c r="K22" s="11"/>
      <c r="L22" s="11"/>
      <c r="M22" s="11"/>
      <c r="N22" s="11"/>
      <c r="O22" s="11"/>
      <c r="P22" s="11"/>
      <c r="Q22" s="2" t="n">
        <f aca="false">SUM(D22:P22)</f>
        <v>8</v>
      </c>
      <c r="R22" s="2" t="str">
        <f aca="false">IF(Q22=Topics!M22,"ok","differs from Topics")</f>
        <v>ok</v>
      </c>
    </row>
    <row r="23" customFormat="false" ht="15" hidden="false" customHeight="false" outlineLevel="0" collapsed="false">
      <c r="A23" s="2" t="s">
        <v>249</v>
      </c>
      <c r="B23" s="2" t="s">
        <v>32</v>
      </c>
      <c r="C23" s="2" t="s">
        <v>250</v>
      </c>
      <c r="D23" s="11"/>
      <c r="E23" s="11"/>
      <c r="F23" s="11" t="n">
        <v>6</v>
      </c>
      <c r="G23" s="11"/>
      <c r="H23" s="11"/>
      <c r="I23" s="11"/>
      <c r="J23" s="11"/>
      <c r="K23" s="11"/>
      <c r="L23" s="11"/>
      <c r="M23" s="11"/>
      <c r="N23" s="11"/>
      <c r="O23" s="11"/>
      <c r="P23" s="11"/>
      <c r="Q23" s="2" t="n">
        <f aca="false">SUM(D23:P23)</f>
        <v>6</v>
      </c>
      <c r="R23" s="2" t="str">
        <f aca="false">IF(Q23=Topics!M23,"ok","differs from Topics")</f>
        <v>ok</v>
      </c>
    </row>
    <row r="24" customFormat="false" ht="15" hidden="false" customHeight="false" outlineLevel="0" collapsed="false">
      <c r="A24" s="2" t="s">
        <v>254</v>
      </c>
      <c r="B24" s="2" t="s">
        <v>32</v>
      </c>
      <c r="C24" s="2" t="s">
        <v>255</v>
      </c>
      <c r="D24" s="11"/>
      <c r="E24" s="11"/>
      <c r="F24" s="11" t="n">
        <v>5</v>
      </c>
      <c r="G24" s="11"/>
      <c r="H24" s="11"/>
      <c r="I24" s="11"/>
      <c r="J24" s="11"/>
      <c r="K24" s="11"/>
      <c r="L24" s="11"/>
      <c r="M24" s="11"/>
      <c r="N24" s="11"/>
      <c r="O24" s="11"/>
      <c r="P24" s="11"/>
      <c r="Q24" s="2" t="n">
        <f aca="false">SUM(D24:P24)</f>
        <v>5</v>
      </c>
      <c r="R24" s="2" t="str">
        <f aca="false">IF(Q24=Topics!M24,"ok","differs from Topics")</f>
        <v>ok</v>
      </c>
    </row>
    <row r="25" customFormat="false" ht="15" hidden="false" customHeight="false" outlineLevel="0" collapsed="false">
      <c r="A25" s="2" t="s">
        <v>259</v>
      </c>
      <c r="B25" s="2" t="s">
        <v>32</v>
      </c>
      <c r="C25" s="2" t="s">
        <v>260</v>
      </c>
      <c r="D25" s="11" t="n">
        <v>2</v>
      </c>
      <c r="E25" s="11" t="n">
        <v>2</v>
      </c>
      <c r="F25" s="11" t="n">
        <v>2</v>
      </c>
      <c r="G25" s="11"/>
      <c r="H25" s="11"/>
      <c r="I25" s="11"/>
      <c r="J25" s="11"/>
      <c r="K25" s="11"/>
      <c r="L25" s="11"/>
      <c r="M25" s="11"/>
      <c r="N25" s="11"/>
      <c r="O25" s="11"/>
      <c r="P25" s="11"/>
      <c r="Q25" s="2" t="n">
        <f aca="false">SUM(D25:P25)</f>
        <v>6</v>
      </c>
      <c r="R25" s="2" t="str">
        <f aca="false">IF(Q25=Topics!M25,"ok","differs from Topics")</f>
        <v>ok</v>
      </c>
    </row>
    <row r="26" customFormat="false" ht="15" hidden="false" customHeight="false" outlineLevel="0" collapsed="false">
      <c r="A26" s="2" t="s">
        <v>265</v>
      </c>
      <c r="B26" s="2" t="s">
        <v>32</v>
      </c>
      <c r="C26" s="2" t="s">
        <v>266</v>
      </c>
      <c r="D26" s="11"/>
      <c r="E26" s="11"/>
      <c r="F26" s="11" t="n">
        <v>4</v>
      </c>
      <c r="G26" s="11"/>
      <c r="H26" s="11"/>
      <c r="I26" s="11"/>
      <c r="J26" s="11"/>
      <c r="K26" s="11"/>
      <c r="L26" s="11"/>
      <c r="M26" s="11"/>
      <c r="N26" s="11"/>
      <c r="O26" s="11"/>
      <c r="P26" s="11"/>
      <c r="Q26" s="2" t="n">
        <f aca="false">SUM(D26:P26)</f>
        <v>4</v>
      </c>
      <c r="R26" s="2" t="str">
        <f aca="false">IF(Q26=Topics!M26,"ok","differs from Topics")</f>
        <v>ok</v>
      </c>
    </row>
    <row r="27" customFormat="false" ht="15" hidden="false" customHeight="false" outlineLevel="0" collapsed="false">
      <c r="A27" s="2" t="s">
        <v>271</v>
      </c>
      <c r="B27" s="2" t="s">
        <v>32</v>
      </c>
      <c r="C27" s="2" t="s">
        <v>272</v>
      </c>
      <c r="D27" s="11"/>
      <c r="E27" s="11"/>
      <c r="F27" s="11" t="n">
        <v>8</v>
      </c>
      <c r="G27" s="11"/>
      <c r="H27" s="11"/>
      <c r="I27" s="11"/>
      <c r="J27" s="11"/>
      <c r="K27" s="11"/>
      <c r="L27" s="11"/>
      <c r="M27" s="11"/>
      <c r="N27" s="11"/>
      <c r="O27" s="11"/>
      <c r="P27" s="11"/>
      <c r="Q27" s="2" t="n">
        <f aca="false">SUM(D27:P27)</f>
        <v>8</v>
      </c>
      <c r="R27" s="2" t="str">
        <f aca="false">IF(Q27=Topics!M27,"ok","differs from Topics")</f>
        <v>ok</v>
      </c>
    </row>
    <row r="28" customFormat="false" ht="15" hidden="false" customHeight="false" outlineLevel="0" collapsed="false">
      <c r="A28" s="2" t="s">
        <v>276</v>
      </c>
      <c r="B28" s="2" t="s">
        <v>32</v>
      </c>
      <c r="C28" s="2" t="s">
        <v>277</v>
      </c>
      <c r="D28" s="11"/>
      <c r="E28" s="11"/>
      <c r="F28" s="11" t="n">
        <v>6</v>
      </c>
      <c r="G28" s="11"/>
      <c r="H28" s="11"/>
      <c r="I28" s="11"/>
      <c r="J28" s="11"/>
      <c r="K28" s="11"/>
      <c r="L28" s="11"/>
      <c r="M28" s="11"/>
      <c r="N28" s="11"/>
      <c r="O28" s="11"/>
      <c r="P28" s="11"/>
      <c r="Q28" s="2" t="n">
        <f aca="false">SUM(D28:P28)</f>
        <v>6</v>
      </c>
      <c r="R28" s="2" t="str">
        <f aca="false">IF(Q28=Topics!M28,"ok","differs from Topics")</f>
        <v>ok</v>
      </c>
    </row>
    <row r="29" customFormat="false" ht="15" hidden="false" customHeight="false" outlineLevel="0" collapsed="false">
      <c r="A29" s="2" t="s">
        <v>282</v>
      </c>
      <c r="B29" s="2" t="s">
        <v>32</v>
      </c>
      <c r="C29" s="2" t="s">
        <v>283</v>
      </c>
      <c r="D29" s="11"/>
      <c r="E29" s="11" t="n">
        <v>3</v>
      </c>
      <c r="F29" s="11" t="n">
        <v>3</v>
      </c>
      <c r="G29" s="11"/>
      <c r="H29" s="11"/>
      <c r="I29" s="11"/>
      <c r="J29" s="11"/>
      <c r="K29" s="11"/>
      <c r="L29" s="11"/>
      <c r="M29" s="11"/>
      <c r="N29" s="11"/>
      <c r="O29" s="11"/>
      <c r="P29" s="11"/>
      <c r="Q29" s="2" t="n">
        <f aca="false">SUM(D29:P29)</f>
        <v>6</v>
      </c>
      <c r="R29" s="2" t="str">
        <f aca="false">IF(Q29=Topics!M29,"ok","differs from Topics")</f>
        <v>ok</v>
      </c>
    </row>
    <row r="30" customFormat="false" ht="15" hidden="false" customHeight="false" outlineLevel="0" collapsed="false">
      <c r="A30" s="2" t="s">
        <v>288</v>
      </c>
      <c r="B30" s="2" t="s">
        <v>32</v>
      </c>
      <c r="C30" s="2" t="s">
        <v>289</v>
      </c>
      <c r="D30" s="11"/>
      <c r="E30" s="11" t="n">
        <v>2</v>
      </c>
      <c r="F30" s="11" t="n">
        <v>2</v>
      </c>
      <c r="G30" s="11"/>
      <c r="H30" s="11"/>
      <c r="I30" s="11"/>
      <c r="J30" s="11"/>
      <c r="K30" s="11"/>
      <c r="L30" s="11"/>
      <c r="M30" s="11"/>
      <c r="N30" s="11"/>
      <c r="O30" s="11"/>
      <c r="P30" s="11"/>
      <c r="Q30" s="2" t="n">
        <f aca="false">SUM(D30:P30)</f>
        <v>4</v>
      </c>
      <c r="R30" s="2" t="str">
        <f aca="false">IF(Q30=Topics!M30,"ok","differs from Topics")</f>
        <v>ok</v>
      </c>
    </row>
    <row r="31" customFormat="false" ht="23.85" hidden="false" customHeight="false" outlineLevel="0" collapsed="false">
      <c r="A31" s="2" t="s">
        <v>294</v>
      </c>
      <c r="B31" s="2" t="s">
        <v>32</v>
      </c>
      <c r="C31" s="2" t="s">
        <v>295</v>
      </c>
      <c r="D31" s="11" t="n">
        <v>3</v>
      </c>
      <c r="E31" s="11" t="n">
        <v>3</v>
      </c>
      <c r="F31" s="11"/>
      <c r="G31" s="11"/>
      <c r="H31" s="11"/>
      <c r="I31" s="11"/>
      <c r="J31" s="11"/>
      <c r="K31" s="11"/>
      <c r="L31" s="11"/>
      <c r="M31" s="11"/>
      <c r="N31" s="11"/>
      <c r="O31" s="11"/>
      <c r="P31" s="11"/>
      <c r="Q31" s="2" t="n">
        <f aca="false">SUM(D31:P31)</f>
        <v>6</v>
      </c>
      <c r="R31" s="2" t="str">
        <f aca="false">IF(Q31=Topics!M31,"ok","differs from Topics")</f>
        <v>ok</v>
      </c>
    </row>
    <row r="32" customFormat="false" ht="15" hidden="false" customHeight="false" outlineLevel="0" collapsed="false">
      <c r="A32" s="2" t="s">
        <v>298</v>
      </c>
      <c r="B32" s="2" t="s">
        <v>32</v>
      </c>
      <c r="C32" s="2" t="s">
        <v>299</v>
      </c>
      <c r="D32" s="11"/>
      <c r="E32" s="11" t="n">
        <v>2</v>
      </c>
      <c r="F32" s="11" t="n">
        <v>2</v>
      </c>
      <c r="G32" s="11"/>
      <c r="H32" s="11"/>
      <c r="I32" s="11"/>
      <c r="J32" s="11"/>
      <c r="K32" s="11"/>
      <c r="L32" s="11"/>
      <c r="M32" s="11"/>
      <c r="N32" s="11"/>
      <c r="O32" s="11"/>
      <c r="P32" s="11"/>
      <c r="Q32" s="2" t="n">
        <f aca="false">SUM(D32:P32)</f>
        <v>4</v>
      </c>
      <c r="R32" s="2" t="str">
        <f aca="false">IF(Q32=Topics!M32,"ok","differs from Topics")</f>
        <v>ok</v>
      </c>
    </row>
    <row r="33" customFormat="false" ht="15" hidden="false" customHeight="false" outlineLevel="0" collapsed="false">
      <c r="A33" s="2" t="s">
        <v>303</v>
      </c>
      <c r="B33" s="2" t="s">
        <v>33</v>
      </c>
      <c r="C33" s="2" t="s">
        <v>305</v>
      </c>
      <c r="D33" s="11"/>
      <c r="E33" s="11"/>
      <c r="F33" s="11"/>
      <c r="G33" s="11" t="n">
        <v>4</v>
      </c>
      <c r="H33" s="11"/>
      <c r="I33" s="11"/>
      <c r="J33" s="11"/>
      <c r="K33" s="11"/>
      <c r="L33" s="11"/>
      <c r="M33" s="11"/>
      <c r="N33" s="11"/>
      <c r="O33" s="11"/>
      <c r="P33" s="11"/>
      <c r="Q33" s="2" t="n">
        <f aca="false">SUM(D33:P33)</f>
        <v>4</v>
      </c>
      <c r="R33" s="2" t="str">
        <f aca="false">IF(Q33=Topics!M33,"ok","differs from Topics")</f>
        <v>ok</v>
      </c>
    </row>
    <row r="34" customFormat="false" ht="15" hidden="false" customHeight="false" outlineLevel="0" collapsed="false">
      <c r="A34" s="2" t="s">
        <v>310</v>
      </c>
      <c r="B34" s="2" t="s">
        <v>33</v>
      </c>
      <c r="C34" s="2" t="s">
        <v>312</v>
      </c>
      <c r="D34" s="11"/>
      <c r="E34" s="11"/>
      <c r="F34" s="11"/>
      <c r="G34" s="11" t="n">
        <v>4</v>
      </c>
      <c r="H34" s="11" t="n">
        <v>4</v>
      </c>
      <c r="I34" s="11"/>
      <c r="J34" s="11"/>
      <c r="K34" s="11"/>
      <c r="L34" s="11"/>
      <c r="M34" s="11"/>
      <c r="N34" s="11"/>
      <c r="O34" s="11"/>
      <c r="P34" s="11"/>
      <c r="Q34" s="2" t="n">
        <f aca="false">SUM(D34:P34)</f>
        <v>8</v>
      </c>
      <c r="R34" s="2" t="str">
        <f aca="false">IF(Q34=Topics!M34,"ok","differs from Topics")</f>
        <v>ok</v>
      </c>
    </row>
    <row r="35" customFormat="false" ht="15" hidden="false" customHeight="false" outlineLevel="0" collapsed="false">
      <c r="A35" s="2" t="s">
        <v>317</v>
      </c>
      <c r="B35" s="2" t="s">
        <v>33</v>
      </c>
      <c r="C35" s="2" t="s">
        <v>318</v>
      </c>
      <c r="D35" s="11"/>
      <c r="E35" s="11"/>
      <c r="F35" s="11"/>
      <c r="G35" s="11" t="n">
        <v>12</v>
      </c>
      <c r="H35" s="11"/>
      <c r="I35" s="11"/>
      <c r="J35" s="11"/>
      <c r="K35" s="11"/>
      <c r="L35" s="11"/>
      <c r="M35" s="11"/>
      <c r="N35" s="11"/>
      <c r="O35" s="11"/>
      <c r="P35" s="11"/>
      <c r="Q35" s="2" t="n">
        <f aca="false">SUM(D35:P35)</f>
        <v>12</v>
      </c>
      <c r="R35" s="2" t="str">
        <f aca="false">IF(Q35=Topics!M35,"ok","differs from Topics")</f>
        <v>ok</v>
      </c>
    </row>
    <row r="36" customFormat="false" ht="15" hidden="false" customHeight="false" outlineLevel="0" collapsed="false">
      <c r="A36" s="2" t="s">
        <v>323</v>
      </c>
      <c r="B36" s="2" t="s">
        <v>33</v>
      </c>
      <c r="C36" s="2" t="s">
        <v>324</v>
      </c>
      <c r="D36" s="11"/>
      <c r="E36" s="11"/>
      <c r="F36" s="11"/>
      <c r="G36" s="11" t="n">
        <v>5</v>
      </c>
      <c r="H36" s="11"/>
      <c r="I36" s="11"/>
      <c r="J36" s="11"/>
      <c r="K36" s="11"/>
      <c r="L36" s="11"/>
      <c r="M36" s="11"/>
      <c r="N36" s="11"/>
      <c r="O36" s="11"/>
      <c r="P36" s="11"/>
      <c r="Q36" s="2" t="n">
        <f aca="false">SUM(D36:P36)</f>
        <v>5</v>
      </c>
      <c r="R36" s="2" t="str">
        <f aca="false">IF(Q36=Topics!M36,"ok","differs from Topics")</f>
        <v>ok</v>
      </c>
    </row>
    <row r="37" customFormat="false" ht="15" hidden="false" customHeight="false" outlineLevel="0" collapsed="false">
      <c r="A37" s="2" t="s">
        <v>329</v>
      </c>
      <c r="B37" s="2" t="s">
        <v>33</v>
      </c>
      <c r="C37" s="2" t="s">
        <v>330</v>
      </c>
      <c r="D37" s="11"/>
      <c r="E37" s="11"/>
      <c r="F37" s="11"/>
      <c r="G37" s="11" t="n">
        <v>9</v>
      </c>
      <c r="H37" s="11"/>
      <c r="I37" s="11"/>
      <c r="J37" s="11"/>
      <c r="K37" s="11"/>
      <c r="L37" s="11"/>
      <c r="M37" s="11"/>
      <c r="N37" s="11"/>
      <c r="O37" s="11"/>
      <c r="P37" s="11"/>
      <c r="Q37" s="2" t="n">
        <f aca="false">SUM(D37:P37)</f>
        <v>9</v>
      </c>
      <c r="R37" s="2" t="str">
        <f aca="false">IF(Q37=Topics!M37,"ok","differs from Topics")</f>
        <v>ok</v>
      </c>
    </row>
    <row r="38" customFormat="false" ht="15" hidden="false" customHeight="false" outlineLevel="0" collapsed="false">
      <c r="A38" s="2" t="s">
        <v>335</v>
      </c>
      <c r="B38" s="2" t="s">
        <v>33</v>
      </c>
      <c r="C38" s="2" t="s">
        <v>336</v>
      </c>
      <c r="D38" s="11"/>
      <c r="E38" s="11"/>
      <c r="F38" s="11"/>
      <c r="G38" s="11" t="n">
        <v>12</v>
      </c>
      <c r="H38" s="11"/>
      <c r="I38" s="11"/>
      <c r="J38" s="11"/>
      <c r="K38" s="11"/>
      <c r="L38" s="11"/>
      <c r="M38" s="11"/>
      <c r="N38" s="11"/>
      <c r="O38" s="11"/>
      <c r="P38" s="11"/>
      <c r="Q38" s="2" t="n">
        <f aca="false">SUM(D38:P38)</f>
        <v>12</v>
      </c>
      <c r="R38" s="2" t="str">
        <f aca="false">IF(Q38=Topics!M38,"ok","differs from Topics")</f>
        <v>ok</v>
      </c>
    </row>
    <row r="39" customFormat="false" ht="15" hidden="false" customHeight="false" outlineLevel="0" collapsed="false">
      <c r="A39" s="2" t="s">
        <v>341</v>
      </c>
      <c r="B39" s="2" t="s">
        <v>33</v>
      </c>
      <c r="C39" s="2" t="s">
        <v>342</v>
      </c>
      <c r="D39" s="11"/>
      <c r="E39" s="11"/>
      <c r="F39" s="11"/>
      <c r="G39" s="11" t="n">
        <v>6</v>
      </c>
      <c r="H39" s="11"/>
      <c r="I39" s="11"/>
      <c r="J39" s="11"/>
      <c r="K39" s="11"/>
      <c r="L39" s="11"/>
      <c r="M39" s="11"/>
      <c r="N39" s="11"/>
      <c r="O39" s="11"/>
      <c r="P39" s="11"/>
      <c r="Q39" s="2" t="n">
        <f aca="false">SUM(D39:P39)</f>
        <v>6</v>
      </c>
      <c r="R39" s="2" t="str">
        <f aca="false">IF(Q39=Topics!M39,"ok","differs from Topics")</f>
        <v>ok</v>
      </c>
    </row>
    <row r="40" customFormat="false" ht="15" hidden="false" customHeight="false" outlineLevel="0" collapsed="false">
      <c r="A40" s="2" t="s">
        <v>347</v>
      </c>
      <c r="B40" s="2" t="s">
        <v>33</v>
      </c>
      <c r="C40" s="2" t="s">
        <v>348</v>
      </c>
      <c r="D40" s="11"/>
      <c r="E40" s="11"/>
      <c r="F40" s="11"/>
      <c r="G40" s="11" t="n">
        <v>8</v>
      </c>
      <c r="H40" s="11"/>
      <c r="I40" s="11"/>
      <c r="J40" s="11"/>
      <c r="K40" s="11"/>
      <c r="L40" s="11"/>
      <c r="M40" s="11"/>
      <c r="N40" s="11"/>
      <c r="O40" s="11"/>
      <c r="P40" s="11"/>
      <c r="Q40" s="2" t="n">
        <f aca="false">SUM(D40:P40)</f>
        <v>8</v>
      </c>
      <c r="R40" s="2" t="str">
        <f aca="false">IF(Q40=Topics!M40,"ok","differs from Topics")</f>
        <v>ok</v>
      </c>
    </row>
    <row r="41" customFormat="false" ht="15" hidden="false" customHeight="false" outlineLevel="0" collapsed="false">
      <c r="A41" s="2" t="s">
        <v>353</v>
      </c>
      <c r="B41" s="2" t="s">
        <v>33</v>
      </c>
      <c r="C41" s="2" t="s">
        <v>355</v>
      </c>
      <c r="D41" s="11"/>
      <c r="E41" s="11"/>
      <c r="F41" s="11"/>
      <c r="G41" s="11"/>
      <c r="H41" s="11" t="n">
        <v>4</v>
      </c>
      <c r="I41" s="11" t="n">
        <v>3</v>
      </c>
      <c r="J41" s="11"/>
      <c r="K41" s="11"/>
      <c r="L41" s="11"/>
      <c r="M41" s="11"/>
      <c r="N41" s="11"/>
      <c r="O41" s="11"/>
      <c r="P41" s="11"/>
      <c r="Q41" s="2" t="n">
        <f aca="false">SUM(D41:P41)</f>
        <v>7</v>
      </c>
      <c r="R41" s="2" t="str">
        <f aca="false">IF(Q41=Topics!M41,"ok","differs from Topics")</f>
        <v>ok</v>
      </c>
    </row>
    <row r="42" customFormat="false" ht="15" hidden="false" customHeight="false" outlineLevel="0" collapsed="false">
      <c r="A42" s="2" t="s">
        <v>362</v>
      </c>
      <c r="B42" s="2" t="s">
        <v>33</v>
      </c>
      <c r="C42" s="2" t="s">
        <v>363</v>
      </c>
      <c r="D42" s="11"/>
      <c r="E42" s="11"/>
      <c r="F42" s="11"/>
      <c r="G42" s="11"/>
      <c r="H42" s="11" t="n">
        <v>5</v>
      </c>
      <c r="I42" s="11" t="n">
        <v>2</v>
      </c>
      <c r="J42" s="11"/>
      <c r="K42" s="11"/>
      <c r="L42" s="11"/>
      <c r="M42" s="11"/>
      <c r="N42" s="11"/>
      <c r="O42" s="11"/>
      <c r="P42" s="11"/>
      <c r="Q42" s="2" t="n">
        <f aca="false">SUM(D42:P42)</f>
        <v>7</v>
      </c>
      <c r="R42" s="2" t="str">
        <f aca="false">IF(Q42=Topics!M42,"ok","differs from Topics")</f>
        <v>ok</v>
      </c>
    </row>
    <row r="43" customFormat="false" ht="15" hidden="false" customHeight="false" outlineLevel="0" collapsed="false">
      <c r="A43" s="2" t="s">
        <v>369</v>
      </c>
      <c r="B43" s="2" t="s">
        <v>33</v>
      </c>
      <c r="C43" s="2" t="s">
        <v>371</v>
      </c>
      <c r="D43" s="11"/>
      <c r="E43" s="11"/>
      <c r="F43" s="11"/>
      <c r="G43" s="11"/>
      <c r="H43" s="11" t="n">
        <v>8</v>
      </c>
      <c r="I43" s="11"/>
      <c r="J43" s="11"/>
      <c r="K43" s="11"/>
      <c r="L43" s="11"/>
      <c r="M43" s="11"/>
      <c r="N43" s="11"/>
      <c r="O43" s="11"/>
      <c r="P43" s="11"/>
      <c r="Q43" s="2" t="n">
        <f aca="false">SUM(D43:P43)</f>
        <v>8</v>
      </c>
      <c r="R43" s="2" t="str">
        <f aca="false">IF(Q43=Topics!M43,"ok","differs from Topics")</f>
        <v>ok</v>
      </c>
    </row>
    <row r="44" customFormat="false" ht="15" hidden="false" customHeight="false" outlineLevel="0" collapsed="false">
      <c r="A44" s="2" t="s">
        <v>376</v>
      </c>
      <c r="B44" s="2" t="s">
        <v>33</v>
      </c>
      <c r="C44" s="2" t="s">
        <v>377</v>
      </c>
      <c r="D44" s="11"/>
      <c r="E44" s="11"/>
      <c r="F44" s="11"/>
      <c r="G44" s="11"/>
      <c r="H44" s="11" t="n">
        <v>6</v>
      </c>
      <c r="I44" s="11"/>
      <c r="J44" s="11"/>
      <c r="K44" s="11"/>
      <c r="L44" s="11"/>
      <c r="M44" s="11"/>
      <c r="N44" s="11"/>
      <c r="O44" s="11"/>
      <c r="P44" s="11"/>
      <c r="Q44" s="2" t="n">
        <f aca="false">SUM(D44:P44)</f>
        <v>6</v>
      </c>
      <c r="R44" s="2" t="str">
        <f aca="false">IF(Q44=Topics!M44,"ok","differs from Topics")</f>
        <v>ok</v>
      </c>
    </row>
    <row r="45" customFormat="false" ht="15" hidden="false" customHeight="false" outlineLevel="0" collapsed="false">
      <c r="A45" s="2" t="s">
        <v>382</v>
      </c>
      <c r="B45" s="2" t="s">
        <v>33</v>
      </c>
      <c r="C45" s="2" t="s">
        <v>383</v>
      </c>
      <c r="D45" s="11"/>
      <c r="E45" s="11"/>
      <c r="F45" s="11"/>
      <c r="G45" s="11"/>
      <c r="H45" s="11" t="n">
        <v>2</v>
      </c>
      <c r="I45" s="11"/>
      <c r="J45" s="11"/>
      <c r="K45" s="11"/>
      <c r="L45" s="11"/>
      <c r="M45" s="11"/>
      <c r="N45" s="11"/>
      <c r="O45" s="11"/>
      <c r="P45" s="11"/>
      <c r="Q45" s="2" t="n">
        <f aca="false">SUM(D45:P45)</f>
        <v>2</v>
      </c>
      <c r="R45" s="2" t="str">
        <f aca="false">IF(Q45=Topics!M45,"ok","differs from Topics")</f>
        <v>ok</v>
      </c>
    </row>
    <row r="46" customFormat="false" ht="15" hidden="false" customHeight="false" outlineLevel="0" collapsed="false">
      <c r="A46" s="2" t="s">
        <v>388</v>
      </c>
      <c r="B46" s="2" t="s">
        <v>33</v>
      </c>
      <c r="C46" s="2" t="s">
        <v>389</v>
      </c>
      <c r="D46" s="11"/>
      <c r="E46" s="11"/>
      <c r="F46" s="11"/>
      <c r="G46" s="11"/>
      <c r="H46" s="11" t="n">
        <v>5</v>
      </c>
      <c r="I46" s="11" t="n">
        <v>2</v>
      </c>
      <c r="J46" s="11"/>
      <c r="K46" s="11"/>
      <c r="L46" s="11"/>
      <c r="M46" s="11"/>
      <c r="N46" s="11"/>
      <c r="O46" s="11"/>
      <c r="P46" s="11"/>
      <c r="Q46" s="2" t="n">
        <f aca="false">SUM(D46:P46)</f>
        <v>7</v>
      </c>
      <c r="R46" s="2" t="str">
        <f aca="false">IF(Q46=Topics!M46,"ok","differs from Topics")</f>
        <v>ok</v>
      </c>
    </row>
    <row r="47" customFormat="false" ht="15" hidden="false" customHeight="false" outlineLevel="0" collapsed="false">
      <c r="A47" s="2" t="s">
        <v>395</v>
      </c>
      <c r="B47" s="2" t="s">
        <v>33</v>
      </c>
      <c r="C47" s="2" t="s">
        <v>396</v>
      </c>
      <c r="D47" s="11"/>
      <c r="E47" s="11"/>
      <c r="F47" s="11"/>
      <c r="G47" s="11"/>
      <c r="H47" s="11" t="n">
        <v>4</v>
      </c>
      <c r="I47" s="11"/>
      <c r="J47" s="11"/>
      <c r="K47" s="11"/>
      <c r="L47" s="11"/>
      <c r="M47" s="11"/>
      <c r="N47" s="11"/>
      <c r="O47" s="11"/>
      <c r="P47" s="11"/>
      <c r="Q47" s="2" t="n">
        <f aca="false">SUM(D47:P47)</f>
        <v>4</v>
      </c>
      <c r="R47" s="2" t="str">
        <f aca="false">IF(Q47=Topics!M47,"ok","differs from Topics")</f>
        <v>ok</v>
      </c>
    </row>
    <row r="48" customFormat="false" ht="15" hidden="false" customHeight="false" outlineLevel="0" collapsed="false">
      <c r="A48" s="2" t="s">
        <v>401</v>
      </c>
      <c r="B48" s="2" t="s">
        <v>33</v>
      </c>
      <c r="C48" s="2" t="s">
        <v>402</v>
      </c>
      <c r="D48" s="11"/>
      <c r="E48" s="11"/>
      <c r="F48" s="11"/>
      <c r="G48" s="11"/>
      <c r="H48" s="11" t="n">
        <v>8</v>
      </c>
      <c r="I48" s="11"/>
      <c r="J48" s="11"/>
      <c r="K48" s="11"/>
      <c r="L48" s="11"/>
      <c r="M48" s="11"/>
      <c r="N48" s="11"/>
      <c r="O48" s="11"/>
      <c r="P48" s="11"/>
      <c r="Q48" s="2" t="n">
        <f aca="false">SUM(D48:P48)</f>
        <v>8</v>
      </c>
      <c r="R48" s="2" t="str">
        <f aca="false">IF(Q48=Topics!M48,"ok","differs from Topics")</f>
        <v>ok</v>
      </c>
    </row>
    <row r="49" customFormat="false" ht="23.85" hidden="false" customHeight="false" outlineLevel="0" collapsed="false">
      <c r="A49" s="2" t="s">
        <v>406</v>
      </c>
      <c r="B49" s="2" t="s">
        <v>33</v>
      </c>
      <c r="C49" s="2" t="s">
        <v>407</v>
      </c>
      <c r="D49" s="11"/>
      <c r="E49" s="11"/>
      <c r="F49" s="11"/>
      <c r="G49" s="11"/>
      <c r="H49" s="11" t="n">
        <v>2</v>
      </c>
      <c r="I49" s="11" t="n">
        <v>2</v>
      </c>
      <c r="J49" s="11"/>
      <c r="K49" s="11"/>
      <c r="L49" s="11"/>
      <c r="M49" s="11"/>
      <c r="N49" s="11"/>
      <c r="O49" s="11"/>
      <c r="P49" s="11"/>
      <c r="Q49" s="2" t="n">
        <f aca="false">SUM(D49:P49)</f>
        <v>4</v>
      </c>
      <c r="R49" s="2" t="str">
        <f aca="false">IF(Q49=Topics!M49,"ok","differs from Topics")</f>
        <v>ok</v>
      </c>
    </row>
    <row r="50" customFormat="false" ht="15" hidden="false" customHeight="false" outlineLevel="0" collapsed="false">
      <c r="A50" s="2" t="s">
        <v>413</v>
      </c>
      <c r="B50" s="2" t="s">
        <v>33</v>
      </c>
      <c r="C50" s="2" t="s">
        <v>414</v>
      </c>
      <c r="D50" s="11"/>
      <c r="E50" s="11"/>
      <c r="F50" s="11"/>
      <c r="G50" s="11"/>
      <c r="H50" s="11" t="n">
        <v>4</v>
      </c>
      <c r="I50" s="11" t="n">
        <v>2</v>
      </c>
      <c r="J50" s="11"/>
      <c r="K50" s="11"/>
      <c r="L50" s="11"/>
      <c r="M50" s="11"/>
      <c r="N50" s="11"/>
      <c r="O50" s="11"/>
      <c r="P50" s="11"/>
      <c r="Q50" s="2" t="n">
        <f aca="false">SUM(D50:P50)</f>
        <v>6</v>
      </c>
      <c r="R50" s="2" t="str">
        <f aca="false">IF(Q50=Topics!M50,"ok","differs from Topics")</f>
        <v>ok</v>
      </c>
    </row>
    <row r="51" customFormat="false" ht="15" hidden="false" customHeight="false" outlineLevel="0" collapsed="false">
      <c r="A51" s="2" t="s">
        <v>419</v>
      </c>
      <c r="B51" s="2" t="s">
        <v>33</v>
      </c>
      <c r="C51" s="2" t="s">
        <v>420</v>
      </c>
      <c r="D51" s="11"/>
      <c r="E51" s="11"/>
      <c r="F51" s="11"/>
      <c r="G51" s="11"/>
      <c r="H51" s="11" t="n">
        <v>4</v>
      </c>
      <c r="I51" s="11" t="n">
        <v>2</v>
      </c>
      <c r="J51" s="11"/>
      <c r="K51" s="11"/>
      <c r="L51" s="11"/>
      <c r="M51" s="11"/>
      <c r="N51" s="11"/>
      <c r="O51" s="11"/>
      <c r="P51" s="11"/>
      <c r="Q51" s="2" t="n">
        <f aca="false">SUM(D51:P51)</f>
        <v>6</v>
      </c>
      <c r="R51" s="2" t="str">
        <f aca="false">IF(Q51=Topics!M51,"ok","differs from Topics")</f>
        <v>ok</v>
      </c>
    </row>
    <row r="52" customFormat="false" ht="15" hidden="false" customHeight="false" outlineLevel="0" collapsed="false">
      <c r="A52" s="2" t="s">
        <v>424</v>
      </c>
      <c r="B52" s="2" t="s">
        <v>33</v>
      </c>
      <c r="C52" s="2" t="s">
        <v>425</v>
      </c>
      <c r="D52" s="11"/>
      <c r="E52" s="11"/>
      <c r="F52" s="11"/>
      <c r="G52" s="11"/>
      <c r="H52" s="11" t="n">
        <v>4</v>
      </c>
      <c r="I52" s="11" t="n">
        <v>3</v>
      </c>
      <c r="J52" s="11"/>
      <c r="K52" s="11"/>
      <c r="L52" s="11"/>
      <c r="M52" s="11"/>
      <c r="N52" s="11"/>
      <c r="O52" s="11"/>
      <c r="P52" s="11"/>
      <c r="Q52" s="2" t="n">
        <f aca="false">SUM(D52:P52)</f>
        <v>7</v>
      </c>
      <c r="R52" s="2" t="str">
        <f aca="false">IF(Q52=Topics!M52,"ok","differs from Topics")</f>
        <v>ok</v>
      </c>
    </row>
    <row r="53" customFormat="false" ht="15" hidden="false" customHeight="false" outlineLevel="0" collapsed="false">
      <c r="A53" s="2" t="s">
        <v>430</v>
      </c>
      <c r="B53" s="2" t="s">
        <v>33</v>
      </c>
      <c r="C53" s="2" t="s">
        <v>431</v>
      </c>
      <c r="D53" s="11"/>
      <c r="E53" s="11"/>
      <c r="F53" s="11"/>
      <c r="G53" s="11"/>
      <c r="H53" s="11" t="n">
        <v>2</v>
      </c>
      <c r="I53" s="11" t="n">
        <v>4</v>
      </c>
      <c r="J53" s="11"/>
      <c r="K53" s="11"/>
      <c r="L53" s="11"/>
      <c r="M53" s="11"/>
      <c r="N53" s="11"/>
      <c r="O53" s="11"/>
      <c r="P53" s="11"/>
      <c r="Q53" s="2" t="n">
        <f aca="false">SUM(D53:P53)</f>
        <v>6</v>
      </c>
      <c r="R53" s="2" t="str">
        <f aca="false">IF(Q53=Topics!M53,"ok","differs from Topics")</f>
        <v>ok</v>
      </c>
    </row>
    <row r="54" customFormat="false" ht="15" hidden="false" customHeight="false" outlineLevel="0" collapsed="false">
      <c r="A54" s="2" t="s">
        <v>436</v>
      </c>
      <c r="B54" s="2" t="s">
        <v>33</v>
      </c>
      <c r="C54" s="2" t="s">
        <v>438</v>
      </c>
      <c r="D54" s="11"/>
      <c r="E54" s="11"/>
      <c r="F54" s="11"/>
      <c r="G54" s="11"/>
      <c r="H54" s="11"/>
      <c r="I54" s="11" t="n">
        <v>6</v>
      </c>
      <c r="J54" s="11"/>
      <c r="K54" s="11"/>
      <c r="L54" s="11"/>
      <c r="M54" s="11"/>
      <c r="N54" s="11"/>
      <c r="O54" s="11"/>
      <c r="P54" s="11"/>
      <c r="Q54" s="2" t="n">
        <f aca="false">SUM(D54:P54)</f>
        <v>6</v>
      </c>
      <c r="R54" s="2" t="str">
        <f aca="false">IF(Q54=Topics!M54,"ok","differs from Topics")</f>
        <v>ok</v>
      </c>
    </row>
    <row r="55" customFormat="false" ht="15" hidden="false" customHeight="false" outlineLevel="0" collapsed="false">
      <c r="A55" s="2" t="s">
        <v>444</v>
      </c>
      <c r="B55" s="2" t="s">
        <v>33</v>
      </c>
      <c r="C55" s="2" t="s">
        <v>445</v>
      </c>
      <c r="D55" s="11"/>
      <c r="E55" s="11"/>
      <c r="F55" s="11"/>
      <c r="G55" s="11"/>
      <c r="H55" s="11"/>
      <c r="I55" s="11" t="n">
        <v>3</v>
      </c>
      <c r="J55" s="11"/>
      <c r="K55" s="11"/>
      <c r="L55" s="11"/>
      <c r="M55" s="11"/>
      <c r="N55" s="11"/>
      <c r="O55" s="11"/>
      <c r="P55" s="11"/>
      <c r="Q55" s="2" t="n">
        <f aca="false">SUM(D55:P55)</f>
        <v>3</v>
      </c>
      <c r="R55" s="2" t="str">
        <f aca="false">IF(Q55=Topics!M55,"ok","differs from Topics")</f>
        <v>ok</v>
      </c>
    </row>
    <row r="56" customFormat="false" ht="15" hidden="false" customHeight="false" outlineLevel="0" collapsed="false">
      <c r="A56" s="2" t="s">
        <v>452</v>
      </c>
      <c r="B56" s="2" t="s">
        <v>33</v>
      </c>
      <c r="C56" s="2" t="s">
        <v>453</v>
      </c>
      <c r="D56" s="11"/>
      <c r="E56" s="11"/>
      <c r="F56" s="11"/>
      <c r="G56" s="11"/>
      <c r="H56" s="11"/>
      <c r="I56" s="11" t="n">
        <v>1</v>
      </c>
      <c r="J56" s="11"/>
      <c r="K56" s="11"/>
      <c r="L56" s="11"/>
      <c r="M56" s="11"/>
      <c r="N56" s="11"/>
      <c r="O56" s="11"/>
      <c r="P56" s="11"/>
      <c r="Q56" s="2" t="n">
        <f aca="false">SUM(D56:P56)</f>
        <v>1</v>
      </c>
      <c r="R56" s="2" t="str">
        <f aca="false">IF(Q56=Topics!M56,"ok","differs from Topics")</f>
        <v>ok</v>
      </c>
    </row>
    <row r="57" customFormat="false" ht="15" hidden="false" customHeight="false" outlineLevel="0" collapsed="false">
      <c r="A57" s="2" t="s">
        <v>458</v>
      </c>
      <c r="B57" s="2" t="s">
        <v>33</v>
      </c>
      <c r="C57" s="2" t="s">
        <v>459</v>
      </c>
      <c r="D57" s="11"/>
      <c r="E57" s="11"/>
      <c r="F57" s="11"/>
      <c r="G57" s="11"/>
      <c r="H57" s="11"/>
      <c r="I57" s="11" t="n">
        <v>7</v>
      </c>
      <c r="J57" s="11"/>
      <c r="K57" s="11"/>
      <c r="L57" s="11"/>
      <c r="M57" s="11"/>
      <c r="N57" s="11"/>
      <c r="O57" s="11"/>
      <c r="P57" s="11"/>
      <c r="Q57" s="2" t="n">
        <f aca="false">SUM(D57:P57)</f>
        <v>7</v>
      </c>
      <c r="R57" s="2" t="str">
        <f aca="false">IF(Q57=Topics!M57,"ok","differs from Topics")</f>
        <v>ok</v>
      </c>
    </row>
    <row r="58" customFormat="false" ht="15" hidden="false" customHeight="false" outlineLevel="0" collapsed="false">
      <c r="A58" s="2" t="s">
        <v>465</v>
      </c>
      <c r="B58" s="2" t="s">
        <v>33</v>
      </c>
      <c r="C58" s="2" t="s">
        <v>466</v>
      </c>
      <c r="D58" s="11"/>
      <c r="E58" s="11"/>
      <c r="F58" s="11"/>
      <c r="G58" s="11"/>
      <c r="H58" s="11" t="n">
        <v>3</v>
      </c>
      <c r="I58" s="11" t="n">
        <v>2</v>
      </c>
      <c r="J58" s="11"/>
      <c r="K58" s="11"/>
      <c r="L58" s="11"/>
      <c r="M58" s="11"/>
      <c r="N58" s="11"/>
      <c r="O58" s="11"/>
      <c r="P58" s="11"/>
      <c r="Q58" s="2" t="n">
        <f aca="false">SUM(D58:P58)</f>
        <v>5</v>
      </c>
      <c r="R58" s="2" t="str">
        <f aca="false">IF(Q58=Topics!M58,"ok","differs from Topics")</f>
        <v>ok</v>
      </c>
    </row>
    <row r="59" customFormat="false" ht="15" hidden="false" customHeight="false" outlineLevel="0" collapsed="false">
      <c r="A59" s="2" t="s">
        <v>472</v>
      </c>
      <c r="B59" s="2" t="s">
        <v>33</v>
      </c>
      <c r="C59" s="2" t="s">
        <v>473</v>
      </c>
      <c r="D59" s="11"/>
      <c r="E59" s="11"/>
      <c r="F59" s="11"/>
      <c r="G59" s="11"/>
      <c r="H59" s="11" t="n">
        <v>2</v>
      </c>
      <c r="I59" s="11" t="n">
        <v>5</v>
      </c>
      <c r="J59" s="11"/>
      <c r="K59" s="11"/>
      <c r="L59" s="11"/>
      <c r="M59" s="11"/>
      <c r="N59" s="11"/>
      <c r="O59" s="11"/>
      <c r="P59" s="11"/>
      <c r="Q59" s="2" t="n">
        <f aca="false">SUM(D59:P59)</f>
        <v>7</v>
      </c>
      <c r="R59" s="2" t="str">
        <f aca="false">IF(Q59=Topics!M59,"ok","differs from Topics")</f>
        <v>ok</v>
      </c>
    </row>
    <row r="60" customFormat="false" ht="15" hidden="false" customHeight="false" outlineLevel="0" collapsed="false">
      <c r="A60" s="2" t="s">
        <v>479</v>
      </c>
      <c r="B60" s="2" t="s">
        <v>33</v>
      </c>
      <c r="C60" s="2" t="s">
        <v>480</v>
      </c>
      <c r="D60" s="11"/>
      <c r="E60" s="11"/>
      <c r="F60" s="11"/>
      <c r="G60" s="11"/>
      <c r="H60" s="11" t="n">
        <v>2</v>
      </c>
      <c r="I60" s="11" t="n">
        <v>5</v>
      </c>
      <c r="J60" s="11"/>
      <c r="K60" s="11"/>
      <c r="L60" s="11"/>
      <c r="M60" s="11"/>
      <c r="N60" s="11"/>
      <c r="O60" s="11"/>
      <c r="P60" s="11"/>
      <c r="Q60" s="2" t="n">
        <f aca="false">SUM(D60:P60)</f>
        <v>7</v>
      </c>
      <c r="R60" s="2" t="str">
        <f aca="false">IF(Q60=Topics!M60,"ok","differs from Topics")</f>
        <v>ok</v>
      </c>
    </row>
    <row r="61" customFormat="false" ht="15" hidden="false" customHeight="false" outlineLevel="0" collapsed="false">
      <c r="A61" s="2" t="s">
        <v>486</v>
      </c>
      <c r="B61" s="2" t="s">
        <v>33</v>
      </c>
      <c r="C61" s="2" t="s">
        <v>487</v>
      </c>
      <c r="D61" s="11"/>
      <c r="E61" s="11"/>
      <c r="F61" s="11"/>
      <c r="G61" s="11"/>
      <c r="H61" s="11"/>
      <c r="I61" s="11" t="n">
        <v>5</v>
      </c>
      <c r="J61" s="11"/>
      <c r="K61" s="11"/>
      <c r="L61" s="11"/>
      <c r="M61" s="11"/>
      <c r="N61" s="11"/>
      <c r="O61" s="11"/>
      <c r="P61" s="11"/>
      <c r="Q61" s="2" t="n">
        <f aca="false">SUM(D61:P61)</f>
        <v>5</v>
      </c>
      <c r="R61" s="2" t="str">
        <f aca="false">IF(Q61=Topics!M61,"ok","differs from Topics")</f>
        <v>ok</v>
      </c>
    </row>
    <row r="62" customFormat="false" ht="15" hidden="false" customHeight="false" outlineLevel="0" collapsed="false">
      <c r="A62" s="2" t="s">
        <v>493</v>
      </c>
      <c r="B62" s="2" t="s">
        <v>33</v>
      </c>
      <c r="C62" s="2" t="s">
        <v>494</v>
      </c>
      <c r="D62" s="11"/>
      <c r="E62" s="11"/>
      <c r="F62" s="11"/>
      <c r="G62" s="11"/>
      <c r="H62" s="11" t="n">
        <v>2</v>
      </c>
      <c r="I62" s="11" t="n">
        <v>5</v>
      </c>
      <c r="J62" s="11"/>
      <c r="K62" s="11"/>
      <c r="L62" s="11"/>
      <c r="M62" s="11"/>
      <c r="N62" s="11"/>
      <c r="O62" s="11"/>
      <c r="P62" s="11"/>
      <c r="Q62" s="2" t="n">
        <f aca="false">SUM(D62:P62)</f>
        <v>7</v>
      </c>
      <c r="R62" s="2" t="str">
        <f aca="false">IF(Q62=Topics!M62,"ok","differs from Topics")</f>
        <v>ok</v>
      </c>
    </row>
    <row r="63" customFormat="false" ht="15" hidden="false" customHeight="false" outlineLevel="0" collapsed="false">
      <c r="A63" s="2" t="s">
        <v>500</v>
      </c>
      <c r="B63" s="2" t="s">
        <v>33</v>
      </c>
      <c r="C63" s="2" t="s">
        <v>501</v>
      </c>
      <c r="D63" s="11"/>
      <c r="E63" s="11"/>
      <c r="F63" s="11"/>
      <c r="G63" s="11"/>
      <c r="H63" s="11" t="n">
        <v>2</v>
      </c>
      <c r="I63" s="11" t="n">
        <v>4</v>
      </c>
      <c r="J63" s="11"/>
      <c r="K63" s="11"/>
      <c r="L63" s="11"/>
      <c r="M63" s="11"/>
      <c r="N63" s="11"/>
      <c r="O63" s="11"/>
      <c r="P63" s="11"/>
      <c r="Q63" s="2" t="n">
        <f aca="false">SUM(D63:P63)</f>
        <v>6</v>
      </c>
      <c r="R63" s="2" t="str">
        <f aca="false">IF(Q63=Topics!M63,"ok","differs from Topics")</f>
        <v>ok</v>
      </c>
    </row>
    <row r="64" customFormat="false" ht="15" hidden="false" customHeight="false" outlineLevel="0" collapsed="false">
      <c r="A64" s="2" t="s">
        <v>507</v>
      </c>
      <c r="B64" s="2" t="s">
        <v>33</v>
      </c>
      <c r="C64" s="2" t="s">
        <v>508</v>
      </c>
      <c r="D64" s="11"/>
      <c r="E64" s="11"/>
      <c r="F64" s="11"/>
      <c r="G64" s="11"/>
      <c r="H64" s="11"/>
      <c r="I64" s="11" t="n">
        <v>3</v>
      </c>
      <c r="J64" s="11"/>
      <c r="K64" s="11"/>
      <c r="L64" s="11"/>
      <c r="M64" s="11"/>
      <c r="N64" s="11"/>
      <c r="O64" s="11"/>
      <c r="P64" s="11"/>
      <c r="Q64" s="2" t="n">
        <f aca="false">SUM(D64:P64)</f>
        <v>3</v>
      </c>
      <c r="R64" s="2" t="str">
        <f aca="false">IF(Q64=Topics!M64,"ok","differs from Topics")</f>
        <v>ok</v>
      </c>
    </row>
    <row r="65" customFormat="false" ht="15" hidden="false" customHeight="false" outlineLevel="0" collapsed="false">
      <c r="A65" s="2" t="s">
        <v>514</v>
      </c>
      <c r="B65" s="2" t="s">
        <v>33</v>
      </c>
      <c r="C65" s="2" t="s">
        <v>515</v>
      </c>
      <c r="D65" s="11"/>
      <c r="E65" s="11"/>
      <c r="F65" s="11"/>
      <c r="G65" s="11"/>
      <c r="H65" s="11" t="n">
        <v>2</v>
      </c>
      <c r="I65" s="11" t="n">
        <v>4</v>
      </c>
      <c r="J65" s="11"/>
      <c r="K65" s="11"/>
      <c r="L65" s="11"/>
      <c r="M65" s="11"/>
      <c r="N65" s="11"/>
      <c r="O65" s="11"/>
      <c r="P65" s="11"/>
      <c r="Q65" s="2" t="n">
        <f aca="false">SUM(D65:P65)</f>
        <v>6</v>
      </c>
      <c r="R65" s="2" t="str">
        <f aca="false">IF(Q65=Topics!M65,"ok","differs from Topics")</f>
        <v>ok</v>
      </c>
    </row>
    <row r="66" customFormat="false" ht="15" hidden="false" customHeight="false" outlineLevel="0" collapsed="false">
      <c r="A66" s="2" t="s">
        <v>520</v>
      </c>
      <c r="B66" s="2" t="s">
        <v>33</v>
      </c>
      <c r="C66" s="2" t="s">
        <v>521</v>
      </c>
      <c r="D66" s="11"/>
      <c r="E66" s="11"/>
      <c r="F66" s="11"/>
      <c r="G66" s="11"/>
      <c r="H66" s="11" t="n">
        <v>3</v>
      </c>
      <c r="I66" s="11" t="n">
        <v>7</v>
      </c>
      <c r="J66" s="11"/>
      <c r="K66" s="11"/>
      <c r="L66" s="11"/>
      <c r="M66" s="11"/>
      <c r="N66" s="11"/>
      <c r="O66" s="11"/>
      <c r="P66" s="11"/>
      <c r="Q66" s="2" t="n">
        <f aca="false">SUM(D66:P66)</f>
        <v>10</v>
      </c>
      <c r="R66" s="2" t="str">
        <f aca="false">IF(Q66=Topics!M66,"ok","differs from Topics")</f>
        <v>ok</v>
      </c>
    </row>
    <row r="67" customFormat="false" ht="15" hidden="false" customHeight="false" outlineLevel="0" collapsed="false">
      <c r="A67" s="2" t="s">
        <v>526</v>
      </c>
      <c r="B67" s="2" t="s">
        <v>33</v>
      </c>
      <c r="C67" s="2" t="s">
        <v>528</v>
      </c>
      <c r="D67" s="11"/>
      <c r="E67" s="11"/>
      <c r="F67" s="11"/>
      <c r="G67" s="11" t="n">
        <v>2</v>
      </c>
      <c r="H67" s="11"/>
      <c r="I67" s="11" t="n">
        <v>3</v>
      </c>
      <c r="J67" s="11"/>
      <c r="K67" s="11"/>
      <c r="L67" s="11"/>
      <c r="M67" s="11"/>
      <c r="N67" s="11"/>
      <c r="O67" s="11"/>
      <c r="P67" s="11"/>
      <c r="Q67" s="2" t="n">
        <f aca="false">SUM(D67:P67)</f>
        <v>5</v>
      </c>
      <c r="R67" s="2" t="str">
        <f aca="false">IF(Q67=Topics!M67,"ok","differs from Topics")</f>
        <v>ok</v>
      </c>
    </row>
    <row r="68" customFormat="false" ht="15" hidden="false" customHeight="false" outlineLevel="0" collapsed="false">
      <c r="A68" s="2" t="s">
        <v>533</v>
      </c>
      <c r="B68" s="2" t="s">
        <v>33</v>
      </c>
      <c r="C68" s="2" t="s">
        <v>534</v>
      </c>
      <c r="D68" s="11"/>
      <c r="E68" s="11"/>
      <c r="F68" s="11"/>
      <c r="G68" s="11"/>
      <c r="H68" s="11"/>
      <c r="I68" s="11" t="n">
        <v>3</v>
      </c>
      <c r="J68" s="11"/>
      <c r="K68" s="11"/>
      <c r="L68" s="11"/>
      <c r="M68" s="11"/>
      <c r="N68" s="11"/>
      <c r="O68" s="11"/>
      <c r="P68" s="11"/>
      <c r="Q68" s="2" t="n">
        <f aca="false">SUM(D68:P68)</f>
        <v>3</v>
      </c>
      <c r="R68" s="2" t="str">
        <f aca="false">IF(Q68=Topics!M68,"ok","differs from Topics")</f>
        <v>ok</v>
      </c>
    </row>
    <row r="69" customFormat="false" ht="15" hidden="false" customHeight="false" outlineLevel="0" collapsed="false">
      <c r="A69" s="2" t="s">
        <v>539</v>
      </c>
      <c r="B69" s="2" t="s">
        <v>33</v>
      </c>
      <c r="C69" s="2" t="s">
        <v>540</v>
      </c>
      <c r="D69" s="11"/>
      <c r="E69" s="11"/>
      <c r="F69" s="11"/>
      <c r="G69" s="11"/>
      <c r="H69" s="11"/>
      <c r="I69" s="11" t="n">
        <v>4</v>
      </c>
      <c r="J69" s="11"/>
      <c r="K69" s="11"/>
      <c r="L69" s="11"/>
      <c r="M69" s="11"/>
      <c r="N69" s="11"/>
      <c r="O69" s="11"/>
      <c r="P69" s="11"/>
      <c r="Q69" s="2" t="n">
        <f aca="false">SUM(D69:P69)</f>
        <v>4</v>
      </c>
      <c r="R69" s="2" t="str">
        <f aca="false">IF(Q69=Topics!M69,"ok","differs from Topics")</f>
        <v>ok</v>
      </c>
    </row>
    <row r="70" customFormat="false" ht="15" hidden="false" customHeight="false" outlineLevel="0" collapsed="false">
      <c r="A70" s="2" t="s">
        <v>545</v>
      </c>
      <c r="B70" s="2" t="s">
        <v>33</v>
      </c>
      <c r="C70" s="2" t="s">
        <v>546</v>
      </c>
      <c r="D70" s="11"/>
      <c r="E70" s="11"/>
      <c r="F70" s="11"/>
      <c r="G70" s="11"/>
      <c r="H70" s="11" t="n">
        <v>6</v>
      </c>
      <c r="I70" s="11"/>
      <c r="J70" s="11"/>
      <c r="K70" s="11"/>
      <c r="L70" s="11"/>
      <c r="M70" s="11"/>
      <c r="N70" s="11"/>
      <c r="O70" s="11"/>
      <c r="P70" s="11"/>
      <c r="Q70" s="2" t="n">
        <f aca="false">SUM(D70:P70)</f>
        <v>6</v>
      </c>
      <c r="R70" s="2" t="str">
        <f aca="false">IF(Q70=Topics!M70,"ok","differs from Topics")</f>
        <v>ok</v>
      </c>
    </row>
    <row r="71" customFormat="false" ht="15" hidden="false" customHeight="false" outlineLevel="0" collapsed="false">
      <c r="A71" s="2" t="s">
        <v>551</v>
      </c>
      <c r="B71" s="2" t="s">
        <v>33</v>
      </c>
      <c r="C71" s="2" t="s">
        <v>552</v>
      </c>
      <c r="D71" s="11"/>
      <c r="E71" s="11"/>
      <c r="F71" s="11"/>
      <c r="G71" s="11"/>
      <c r="H71" s="11"/>
      <c r="I71" s="11" t="n">
        <v>16</v>
      </c>
      <c r="J71" s="11"/>
      <c r="K71" s="11"/>
      <c r="L71" s="11"/>
      <c r="M71" s="11"/>
      <c r="N71" s="11"/>
      <c r="O71" s="11"/>
      <c r="P71" s="11"/>
      <c r="Q71" s="2" t="n">
        <f aca="false">SUM(D71:P71)</f>
        <v>16</v>
      </c>
      <c r="R71" s="2" t="str">
        <f aca="false">IF(Q71=Topics!M71,"ok","differs from Topics")</f>
        <v>ok</v>
      </c>
    </row>
    <row r="72" customFormat="false" ht="15" hidden="false" customHeight="false" outlineLevel="0" collapsed="false">
      <c r="A72" s="2" t="s">
        <v>557</v>
      </c>
      <c r="B72" s="2" t="s">
        <v>33</v>
      </c>
      <c r="C72" s="2" t="s">
        <v>558</v>
      </c>
      <c r="D72" s="11"/>
      <c r="E72" s="11"/>
      <c r="F72" s="11"/>
      <c r="G72" s="11"/>
      <c r="H72" s="11"/>
      <c r="I72" s="11" t="n">
        <v>14</v>
      </c>
      <c r="J72" s="11"/>
      <c r="K72" s="11"/>
      <c r="L72" s="11"/>
      <c r="M72" s="11"/>
      <c r="N72" s="11"/>
      <c r="O72" s="11"/>
      <c r="P72" s="11"/>
      <c r="Q72" s="2" t="n">
        <f aca="false">SUM(D72:P72)</f>
        <v>14</v>
      </c>
      <c r="R72" s="2" t="str">
        <f aca="false">IF(Q72=Topics!M72,"ok","differs from Topics")</f>
        <v>ok</v>
      </c>
    </row>
    <row r="73" customFormat="false" ht="15" hidden="false" customHeight="false" outlineLevel="0" collapsed="false">
      <c r="A73" s="2" t="s">
        <v>563</v>
      </c>
      <c r="B73" s="2" t="s">
        <v>33</v>
      </c>
      <c r="C73" s="2" t="s">
        <v>564</v>
      </c>
      <c r="D73" s="11"/>
      <c r="E73" s="11"/>
      <c r="F73" s="11"/>
      <c r="G73" s="11"/>
      <c r="H73" s="11"/>
      <c r="I73" s="11" t="n">
        <v>13</v>
      </c>
      <c r="J73" s="11"/>
      <c r="K73" s="11"/>
      <c r="L73" s="11"/>
      <c r="M73" s="11"/>
      <c r="N73" s="11"/>
      <c r="O73" s="11"/>
      <c r="P73" s="11"/>
      <c r="Q73" s="2" t="n">
        <f aca="false">SUM(D73:P73)</f>
        <v>13</v>
      </c>
      <c r="R73" s="2" t="str">
        <f aca="false">IF(Q73=Topics!M73,"ok","differs from Topics")</f>
        <v>ok</v>
      </c>
    </row>
    <row r="74" customFormat="false" ht="15" hidden="false" customHeight="false" outlineLevel="0" collapsed="false">
      <c r="A74" s="2" t="s">
        <v>570</v>
      </c>
      <c r="B74" s="2" t="s">
        <v>33</v>
      </c>
      <c r="C74" s="2" t="s">
        <v>571</v>
      </c>
      <c r="D74" s="11"/>
      <c r="E74" s="11"/>
      <c r="F74" s="11"/>
      <c r="G74" s="11"/>
      <c r="H74" s="11"/>
      <c r="I74" s="11" t="n">
        <v>16</v>
      </c>
      <c r="J74" s="11"/>
      <c r="K74" s="11"/>
      <c r="L74" s="11"/>
      <c r="M74" s="11"/>
      <c r="N74" s="11"/>
      <c r="O74" s="11"/>
      <c r="P74" s="11"/>
      <c r="Q74" s="2" t="n">
        <f aca="false">SUM(D74:P74)</f>
        <v>16</v>
      </c>
      <c r="R74" s="2" t="str">
        <f aca="false">IF(Q74=Topics!M74,"ok","differs from Topics")</f>
        <v>ok</v>
      </c>
    </row>
    <row r="75" customFormat="false" ht="15" hidden="false" customHeight="false" outlineLevel="0" collapsed="false">
      <c r="A75" s="2" t="s">
        <v>576</v>
      </c>
      <c r="B75" s="2" t="s">
        <v>33</v>
      </c>
      <c r="C75" s="2" t="s">
        <v>577</v>
      </c>
      <c r="D75" s="11"/>
      <c r="E75" s="11"/>
      <c r="F75" s="11"/>
      <c r="G75" s="11"/>
      <c r="H75" s="11"/>
      <c r="I75" s="11" t="n">
        <v>9</v>
      </c>
      <c r="J75" s="11"/>
      <c r="K75" s="11"/>
      <c r="L75" s="11"/>
      <c r="M75" s="11"/>
      <c r="N75" s="11"/>
      <c r="O75" s="11"/>
      <c r="P75" s="11"/>
      <c r="Q75" s="2" t="n">
        <f aca="false">SUM(D75:P75)</f>
        <v>9</v>
      </c>
      <c r="R75" s="2" t="str">
        <f aca="false">IF(Q75=Topics!M75,"ok","differs from Topics")</f>
        <v>ok</v>
      </c>
    </row>
    <row r="76" customFormat="false" ht="15" hidden="false" customHeight="false" outlineLevel="0" collapsed="false">
      <c r="A76" s="2" t="s">
        <v>581</v>
      </c>
      <c r="B76" s="2" t="s">
        <v>33</v>
      </c>
      <c r="C76" s="2" t="s">
        <v>582</v>
      </c>
      <c r="D76" s="11"/>
      <c r="E76" s="11"/>
      <c r="F76" s="11"/>
      <c r="G76" s="11"/>
      <c r="H76" s="11"/>
      <c r="I76" s="11" t="n">
        <v>8</v>
      </c>
      <c r="J76" s="11"/>
      <c r="K76" s="11"/>
      <c r="L76" s="11"/>
      <c r="M76" s="11"/>
      <c r="N76" s="11"/>
      <c r="O76" s="11"/>
      <c r="P76" s="11"/>
      <c r="Q76" s="2" t="n">
        <f aca="false">SUM(D76:P76)</f>
        <v>8</v>
      </c>
      <c r="R76" s="2" t="str">
        <f aca="false">IF(Q76=Topics!M76,"ok","differs from Topics")</f>
        <v>ok</v>
      </c>
    </row>
    <row r="77" customFormat="false" ht="15" hidden="false" customHeight="false" outlineLevel="0" collapsed="false">
      <c r="A77" s="2" t="s">
        <v>586</v>
      </c>
      <c r="B77" s="2" t="s">
        <v>33</v>
      </c>
      <c r="C77" s="2" t="s">
        <v>587</v>
      </c>
      <c r="D77" s="11"/>
      <c r="E77" s="11"/>
      <c r="F77" s="11"/>
      <c r="G77" s="11"/>
      <c r="H77" s="11"/>
      <c r="I77" s="11" t="n">
        <v>5</v>
      </c>
      <c r="J77" s="11"/>
      <c r="K77" s="11"/>
      <c r="L77" s="11"/>
      <c r="M77" s="11"/>
      <c r="N77" s="11"/>
      <c r="O77" s="11"/>
      <c r="P77" s="11"/>
      <c r="Q77" s="2" t="n">
        <f aca="false">SUM(D77:P77)</f>
        <v>5</v>
      </c>
      <c r="R77" s="2" t="str">
        <f aca="false">IF(Q77=Topics!M77,"ok","differs from Topics")</f>
        <v>ok</v>
      </c>
    </row>
    <row r="78" customFormat="false" ht="15" hidden="false" customHeight="false" outlineLevel="0" collapsed="false">
      <c r="A78" s="2" t="s">
        <v>591</v>
      </c>
      <c r="B78" s="2" t="s">
        <v>33</v>
      </c>
      <c r="C78" s="2" t="s">
        <v>592</v>
      </c>
      <c r="D78" s="11"/>
      <c r="E78" s="11"/>
      <c r="F78" s="11"/>
      <c r="G78" s="11"/>
      <c r="H78" s="11" t="n">
        <v>3</v>
      </c>
      <c r="I78" s="11" t="n">
        <v>3</v>
      </c>
      <c r="J78" s="11"/>
      <c r="K78" s="11"/>
      <c r="L78" s="11"/>
      <c r="M78" s="11"/>
      <c r="N78" s="11"/>
      <c r="O78" s="11"/>
      <c r="P78" s="11"/>
      <c r="Q78" s="2" t="n">
        <f aca="false">SUM(D78:P78)</f>
        <v>6</v>
      </c>
      <c r="R78" s="2" t="str">
        <f aca="false">IF(Q78=Topics!M78,"ok","differs from Topics")</f>
        <v>ok</v>
      </c>
    </row>
    <row r="79" customFormat="false" ht="15" hidden="false" customHeight="false" outlineLevel="0" collapsed="false">
      <c r="A79" s="2" t="s">
        <v>596</v>
      </c>
      <c r="B79" s="2" t="s">
        <v>34</v>
      </c>
      <c r="C79" s="2" t="s">
        <v>598</v>
      </c>
      <c r="D79" s="11"/>
      <c r="E79" s="11"/>
      <c r="F79" s="11"/>
      <c r="G79" s="11"/>
      <c r="H79" s="11"/>
      <c r="I79" s="11"/>
      <c r="J79" s="11" t="n">
        <v>3</v>
      </c>
      <c r="K79" s="11"/>
      <c r="L79" s="11" t="n">
        <v>1</v>
      </c>
      <c r="M79" s="11"/>
      <c r="N79" s="11"/>
      <c r="O79" s="11"/>
      <c r="P79" s="11"/>
      <c r="Q79" s="2" t="n">
        <f aca="false">SUM(D79:P79)</f>
        <v>4</v>
      </c>
      <c r="R79" s="2" t="str">
        <f aca="false">IF(Q79=Topics!M79,"ok","differs from Topics")</f>
        <v>ok</v>
      </c>
    </row>
    <row r="80" customFormat="false" ht="15" hidden="false" customHeight="false" outlineLevel="0" collapsed="false">
      <c r="A80" s="2" t="s">
        <v>604</v>
      </c>
      <c r="B80" s="2" t="s">
        <v>34</v>
      </c>
      <c r="C80" s="2" t="s">
        <v>605</v>
      </c>
      <c r="D80" s="11"/>
      <c r="E80" s="11"/>
      <c r="F80" s="11"/>
      <c r="G80" s="11"/>
      <c r="H80" s="11"/>
      <c r="I80" s="11"/>
      <c r="J80" s="11" t="n">
        <v>8</v>
      </c>
      <c r="K80" s="11"/>
      <c r="L80" s="11" t="n">
        <v>1</v>
      </c>
      <c r="M80" s="11"/>
      <c r="N80" s="11"/>
      <c r="O80" s="11"/>
      <c r="P80" s="11"/>
      <c r="Q80" s="2" t="n">
        <f aca="false">SUM(D80:P80)</f>
        <v>9</v>
      </c>
      <c r="R80" s="2" t="str">
        <f aca="false">IF(Q80=Topics!M80,"ok","differs from Topics")</f>
        <v>ok</v>
      </c>
    </row>
    <row r="81" customFormat="false" ht="15" hidden="false" customHeight="false" outlineLevel="0" collapsed="false">
      <c r="A81" s="2" t="s">
        <v>611</v>
      </c>
      <c r="B81" s="2" t="s">
        <v>34</v>
      </c>
      <c r="C81" s="2" t="s">
        <v>612</v>
      </c>
      <c r="D81" s="11"/>
      <c r="E81" s="11"/>
      <c r="F81" s="11"/>
      <c r="G81" s="11"/>
      <c r="H81" s="11"/>
      <c r="I81" s="11"/>
      <c r="J81" s="11" t="n">
        <v>6</v>
      </c>
      <c r="K81" s="11"/>
      <c r="L81" s="11" t="n">
        <v>3</v>
      </c>
      <c r="M81" s="11"/>
      <c r="N81" s="11"/>
      <c r="O81" s="11"/>
      <c r="P81" s="11"/>
      <c r="Q81" s="2" t="n">
        <f aca="false">SUM(D81:P81)</f>
        <v>9</v>
      </c>
      <c r="R81" s="2" t="str">
        <f aca="false">IF(Q81=Topics!M81,"ok","differs from Topics")</f>
        <v>ok</v>
      </c>
    </row>
    <row r="82" customFormat="false" ht="15" hidden="false" customHeight="false" outlineLevel="0" collapsed="false">
      <c r="A82" s="2" t="s">
        <v>617</v>
      </c>
      <c r="B82" s="2" t="s">
        <v>34</v>
      </c>
      <c r="C82" s="2" t="s">
        <v>619</v>
      </c>
      <c r="D82" s="11"/>
      <c r="E82" s="11"/>
      <c r="F82" s="11"/>
      <c r="G82" s="11"/>
      <c r="H82" s="11"/>
      <c r="I82" s="11"/>
      <c r="J82" s="11"/>
      <c r="K82" s="11"/>
      <c r="L82" s="11" t="n">
        <v>1</v>
      </c>
      <c r="M82" s="11"/>
      <c r="N82" s="11"/>
      <c r="O82" s="11"/>
      <c r="P82" s="11"/>
      <c r="Q82" s="2" t="n">
        <f aca="false">SUM(D82:P82)</f>
        <v>1</v>
      </c>
      <c r="R82" s="2" t="str">
        <f aca="false">IF(Q82=Topics!M82,"ok","differs from Topics")</f>
        <v>ok</v>
      </c>
    </row>
    <row r="83" customFormat="false" ht="23.85" hidden="false" customHeight="false" outlineLevel="0" collapsed="false">
      <c r="A83" s="2" t="s">
        <v>625</v>
      </c>
      <c r="B83" s="2" t="s">
        <v>34</v>
      </c>
      <c r="C83" s="2" t="s">
        <v>626</v>
      </c>
      <c r="D83" s="11"/>
      <c r="E83" s="11"/>
      <c r="F83" s="11"/>
      <c r="G83" s="11"/>
      <c r="H83" s="11"/>
      <c r="I83" s="11"/>
      <c r="J83" s="11" t="n">
        <v>8</v>
      </c>
      <c r="K83" s="11"/>
      <c r="L83" s="11" t="n">
        <v>1</v>
      </c>
      <c r="M83" s="11"/>
      <c r="N83" s="11"/>
      <c r="O83" s="11"/>
      <c r="P83" s="11"/>
      <c r="Q83" s="2" t="n">
        <f aca="false">SUM(D83:P83)</f>
        <v>9</v>
      </c>
      <c r="R83" s="2" t="str">
        <f aca="false">IF(Q83=Topics!M83,"ok","differs from Topics")</f>
        <v>ok</v>
      </c>
    </row>
    <row r="84" customFormat="false" ht="15" hidden="false" customHeight="false" outlineLevel="0" collapsed="false">
      <c r="A84" s="2" t="s">
        <v>632</v>
      </c>
      <c r="B84" s="2" t="s">
        <v>34</v>
      </c>
      <c r="C84" s="2" t="s">
        <v>633</v>
      </c>
      <c r="D84" s="11"/>
      <c r="E84" s="11"/>
      <c r="F84" s="11"/>
      <c r="G84" s="11"/>
      <c r="H84" s="11"/>
      <c r="I84" s="11"/>
      <c r="J84" s="11" t="n">
        <v>4</v>
      </c>
      <c r="K84" s="11"/>
      <c r="L84" s="11" t="n">
        <v>1</v>
      </c>
      <c r="M84" s="11"/>
      <c r="N84" s="11"/>
      <c r="O84" s="11"/>
      <c r="P84" s="11"/>
      <c r="Q84" s="2" t="n">
        <f aca="false">SUM(D84:P84)</f>
        <v>5</v>
      </c>
      <c r="R84" s="2" t="str">
        <f aca="false">IF(Q84=Topics!M84,"ok","differs from Topics")</f>
        <v>ok</v>
      </c>
    </row>
    <row r="85" customFormat="false" ht="15" hidden="false" customHeight="false" outlineLevel="0" collapsed="false">
      <c r="A85" s="2" t="s">
        <v>638</v>
      </c>
      <c r="B85" s="2" t="s">
        <v>34</v>
      </c>
      <c r="C85" s="2" t="s">
        <v>640</v>
      </c>
      <c r="D85" s="11"/>
      <c r="E85" s="11"/>
      <c r="F85" s="11"/>
      <c r="G85" s="11"/>
      <c r="H85" s="11"/>
      <c r="I85" s="11"/>
      <c r="J85" s="11" t="n">
        <v>9</v>
      </c>
      <c r="K85" s="11"/>
      <c r="L85" s="11"/>
      <c r="M85" s="11"/>
      <c r="N85" s="11"/>
      <c r="O85" s="11"/>
      <c r="P85" s="11"/>
      <c r="Q85" s="2" t="n">
        <f aca="false">SUM(D85:P85)</f>
        <v>9</v>
      </c>
      <c r="R85" s="2" t="str">
        <f aca="false">IF(Q85=Topics!M85,"ok","differs from Topics")</f>
        <v>ok</v>
      </c>
    </row>
    <row r="86" customFormat="false" ht="15" hidden="false" customHeight="false" outlineLevel="0" collapsed="false">
      <c r="A86" s="2" t="s">
        <v>645</v>
      </c>
      <c r="B86" s="2" t="s">
        <v>34</v>
      </c>
      <c r="C86" s="2" t="s">
        <v>646</v>
      </c>
      <c r="D86" s="11"/>
      <c r="E86" s="11"/>
      <c r="F86" s="11"/>
      <c r="G86" s="11"/>
      <c r="H86" s="11"/>
      <c r="I86" s="11"/>
      <c r="J86" s="11" t="n">
        <v>8</v>
      </c>
      <c r="K86" s="11"/>
      <c r="L86" s="11"/>
      <c r="M86" s="11"/>
      <c r="N86" s="11"/>
      <c r="O86" s="11"/>
      <c r="P86" s="11"/>
      <c r="Q86" s="2" t="n">
        <f aca="false">SUM(D86:P86)</f>
        <v>8</v>
      </c>
      <c r="R86" s="2" t="str">
        <f aca="false">IF(Q86=Topics!M86,"ok","differs from Topics")</f>
        <v>ok</v>
      </c>
    </row>
    <row r="87" customFormat="false" ht="15" hidden="false" customHeight="false" outlineLevel="0" collapsed="false">
      <c r="A87" s="2" t="s">
        <v>650</v>
      </c>
      <c r="B87" s="2" t="s">
        <v>34</v>
      </c>
      <c r="C87" s="2" t="s">
        <v>651</v>
      </c>
      <c r="D87" s="11"/>
      <c r="E87" s="11"/>
      <c r="F87" s="11"/>
      <c r="G87" s="11"/>
      <c r="H87" s="11"/>
      <c r="I87" s="11"/>
      <c r="J87" s="11"/>
      <c r="K87" s="11"/>
      <c r="L87" s="11" t="n">
        <v>1</v>
      </c>
      <c r="M87" s="11"/>
      <c r="N87" s="11"/>
      <c r="O87" s="11"/>
      <c r="P87" s="11"/>
      <c r="Q87" s="2" t="n">
        <f aca="false">SUM(D87:P87)</f>
        <v>1</v>
      </c>
      <c r="R87" s="2" t="str">
        <f aca="false">IF(Q87=Topics!M87,"ok","differs from Topics")</f>
        <v>ok</v>
      </c>
    </row>
    <row r="88" customFormat="false" ht="15" hidden="false" customHeight="false" outlineLevel="0" collapsed="false">
      <c r="A88" s="2" t="s">
        <v>655</v>
      </c>
      <c r="B88" s="2" t="s">
        <v>34</v>
      </c>
      <c r="C88" s="2" t="s">
        <v>656</v>
      </c>
      <c r="D88" s="11"/>
      <c r="E88" s="11"/>
      <c r="F88" s="11"/>
      <c r="G88" s="11"/>
      <c r="H88" s="11"/>
      <c r="I88" s="11"/>
      <c r="J88" s="11" t="n">
        <v>6</v>
      </c>
      <c r="K88" s="11"/>
      <c r="L88" s="11" t="n">
        <v>1</v>
      </c>
      <c r="M88" s="11"/>
      <c r="N88" s="11"/>
      <c r="O88" s="11"/>
      <c r="P88" s="11"/>
      <c r="Q88" s="2" t="n">
        <f aca="false">SUM(D88:P88)</f>
        <v>7</v>
      </c>
      <c r="R88" s="2" t="str">
        <f aca="false">IF(Q88=Topics!M88,"ok","differs from Topics")</f>
        <v>ok</v>
      </c>
    </row>
    <row r="89" customFormat="false" ht="15" hidden="false" customHeight="false" outlineLevel="0" collapsed="false">
      <c r="A89" s="2" t="s">
        <v>662</v>
      </c>
      <c r="B89" s="2" t="s">
        <v>34</v>
      </c>
      <c r="C89" s="2" t="s">
        <v>663</v>
      </c>
      <c r="D89" s="11"/>
      <c r="E89" s="11"/>
      <c r="F89" s="11"/>
      <c r="G89" s="11"/>
      <c r="H89" s="11"/>
      <c r="I89" s="11"/>
      <c r="J89" s="11" t="n">
        <v>3</v>
      </c>
      <c r="K89" s="11"/>
      <c r="L89" s="11" t="n">
        <v>1</v>
      </c>
      <c r="M89" s="11"/>
      <c r="N89" s="11"/>
      <c r="O89" s="11"/>
      <c r="P89" s="11"/>
      <c r="Q89" s="2" t="n">
        <f aca="false">SUM(D89:P89)</f>
        <v>4</v>
      </c>
      <c r="R89" s="2" t="str">
        <f aca="false">IF(Q89=Topics!M89,"ok","differs from Topics")</f>
        <v>ok</v>
      </c>
    </row>
    <row r="90" customFormat="false" ht="15" hidden="false" customHeight="false" outlineLevel="0" collapsed="false">
      <c r="A90" s="2" t="s">
        <v>668</v>
      </c>
      <c r="B90" s="2" t="s">
        <v>34</v>
      </c>
      <c r="C90" s="2" t="s">
        <v>669</v>
      </c>
      <c r="D90" s="11"/>
      <c r="E90" s="11"/>
      <c r="F90" s="11"/>
      <c r="G90" s="11"/>
      <c r="H90" s="11"/>
      <c r="I90" s="11"/>
      <c r="J90" s="11" t="n">
        <v>8</v>
      </c>
      <c r="K90" s="11"/>
      <c r="L90" s="11" t="n">
        <v>1</v>
      </c>
      <c r="M90" s="11"/>
      <c r="N90" s="11"/>
      <c r="O90" s="11"/>
      <c r="P90" s="11"/>
      <c r="Q90" s="2" t="n">
        <f aca="false">SUM(D90:P90)</f>
        <v>9</v>
      </c>
      <c r="R90" s="2" t="str">
        <f aca="false">IF(Q90=Topics!M90,"ok","differs from Topics")</f>
        <v>ok</v>
      </c>
    </row>
    <row r="91" customFormat="false" ht="15" hidden="false" customHeight="false" outlineLevel="0" collapsed="false">
      <c r="A91" s="2" t="s">
        <v>675</v>
      </c>
      <c r="B91" s="2" t="s">
        <v>34</v>
      </c>
      <c r="C91" s="2" t="s">
        <v>676</v>
      </c>
      <c r="D91" s="11"/>
      <c r="E91" s="11"/>
      <c r="F91" s="11"/>
      <c r="G91" s="11"/>
      <c r="H91" s="11"/>
      <c r="I91" s="11"/>
      <c r="J91" s="11" t="n">
        <v>6</v>
      </c>
      <c r="K91" s="11"/>
      <c r="L91" s="11" t="n">
        <v>1</v>
      </c>
      <c r="M91" s="11"/>
      <c r="N91" s="11"/>
      <c r="O91" s="11"/>
      <c r="P91" s="11"/>
      <c r="Q91" s="2" t="n">
        <f aca="false">SUM(D91:P91)</f>
        <v>7</v>
      </c>
      <c r="R91" s="2" t="str">
        <f aca="false">IF(Q91=Topics!M91,"ok","differs from Topics")</f>
        <v>ok</v>
      </c>
    </row>
    <row r="92" customFormat="false" ht="15" hidden="false" customHeight="false" outlineLevel="0" collapsed="false">
      <c r="A92" s="2" t="s">
        <v>681</v>
      </c>
      <c r="B92" s="2" t="s">
        <v>34</v>
      </c>
      <c r="C92" s="2" t="s">
        <v>682</v>
      </c>
      <c r="D92" s="11"/>
      <c r="E92" s="11"/>
      <c r="F92" s="11"/>
      <c r="G92" s="11"/>
      <c r="H92" s="11"/>
      <c r="I92" s="11"/>
      <c r="J92" s="11" t="n">
        <v>6</v>
      </c>
      <c r="K92" s="11"/>
      <c r="L92" s="11"/>
      <c r="M92" s="11"/>
      <c r="N92" s="11"/>
      <c r="O92" s="11"/>
      <c r="P92" s="11"/>
      <c r="Q92" s="2" t="n">
        <f aca="false">SUM(D92:P92)</f>
        <v>6</v>
      </c>
      <c r="R92" s="2" t="str">
        <f aca="false">IF(Q92=Topics!M92,"ok","differs from Topics")</f>
        <v>ok</v>
      </c>
    </row>
    <row r="93" customFormat="false" ht="15" hidden="false" customHeight="false" outlineLevel="0" collapsed="false">
      <c r="A93" s="2" t="s">
        <v>687</v>
      </c>
      <c r="B93" s="2" t="s">
        <v>34</v>
      </c>
      <c r="C93" s="2" t="s">
        <v>688</v>
      </c>
      <c r="D93" s="11"/>
      <c r="E93" s="11"/>
      <c r="F93" s="11"/>
      <c r="G93" s="11"/>
      <c r="H93" s="11"/>
      <c r="I93" s="11"/>
      <c r="J93" s="11" t="n">
        <v>5</v>
      </c>
      <c r="K93" s="11"/>
      <c r="L93" s="11"/>
      <c r="M93" s="11"/>
      <c r="N93" s="11"/>
      <c r="O93" s="11"/>
      <c r="P93" s="11"/>
      <c r="Q93" s="2" t="n">
        <f aca="false">SUM(D93:P93)</f>
        <v>5</v>
      </c>
      <c r="R93" s="2" t="str">
        <f aca="false">IF(Q93=Topics!M93,"ok","differs from Topics")</f>
        <v>ok</v>
      </c>
    </row>
    <row r="94" customFormat="false" ht="15" hidden="false" customHeight="false" outlineLevel="0" collapsed="false">
      <c r="A94" s="2" t="s">
        <v>693</v>
      </c>
      <c r="B94" s="2" t="s">
        <v>34</v>
      </c>
      <c r="C94" s="2" t="s">
        <v>695</v>
      </c>
      <c r="D94" s="11"/>
      <c r="E94" s="11"/>
      <c r="F94" s="11"/>
      <c r="G94" s="11"/>
      <c r="H94" s="11"/>
      <c r="I94" s="11"/>
      <c r="J94" s="11" t="n">
        <v>4</v>
      </c>
      <c r="K94" s="11" t="n">
        <v>2</v>
      </c>
      <c r="L94" s="11"/>
      <c r="M94" s="11"/>
      <c r="N94" s="11"/>
      <c r="O94" s="11"/>
      <c r="P94" s="11"/>
      <c r="Q94" s="2" t="n">
        <f aca="false">SUM(D94:P94)</f>
        <v>6</v>
      </c>
      <c r="R94" s="2" t="str">
        <f aca="false">IF(Q94=Topics!M94,"ok","differs from Topics")</f>
        <v>ok</v>
      </c>
    </row>
    <row r="95" customFormat="false" ht="15" hidden="false" customHeight="false" outlineLevel="0" collapsed="false">
      <c r="A95" s="2" t="s">
        <v>700</v>
      </c>
      <c r="B95" s="2" t="s">
        <v>34</v>
      </c>
      <c r="C95" s="2" t="s">
        <v>701</v>
      </c>
      <c r="D95" s="11"/>
      <c r="E95" s="11"/>
      <c r="F95" s="11"/>
      <c r="G95" s="11"/>
      <c r="H95" s="11"/>
      <c r="I95" s="11"/>
      <c r="J95" s="11"/>
      <c r="K95" s="11"/>
      <c r="L95" s="11" t="n">
        <v>1</v>
      </c>
      <c r="M95" s="11"/>
      <c r="N95" s="11"/>
      <c r="O95" s="11"/>
      <c r="P95" s="11"/>
      <c r="Q95" s="2" t="n">
        <f aca="false">SUM(D95:P95)</f>
        <v>1</v>
      </c>
      <c r="R95" s="2" t="str">
        <f aca="false">IF(Q95=Topics!M95,"ok","differs from Topics")</f>
        <v>ok</v>
      </c>
    </row>
    <row r="96" customFormat="false" ht="15" hidden="false" customHeight="false" outlineLevel="0" collapsed="false">
      <c r="A96" s="2" t="s">
        <v>706</v>
      </c>
      <c r="B96" s="2" t="s">
        <v>34</v>
      </c>
      <c r="C96" s="2" t="s">
        <v>707</v>
      </c>
      <c r="D96" s="11"/>
      <c r="E96" s="11"/>
      <c r="F96" s="11"/>
      <c r="G96" s="11"/>
      <c r="H96" s="11"/>
      <c r="I96" s="11"/>
      <c r="J96" s="11" t="n">
        <v>5</v>
      </c>
      <c r="K96" s="11"/>
      <c r="L96" s="11"/>
      <c r="M96" s="11"/>
      <c r="N96" s="11"/>
      <c r="O96" s="11"/>
      <c r="P96" s="11"/>
      <c r="Q96" s="2" t="n">
        <f aca="false">SUM(D96:P96)</f>
        <v>5</v>
      </c>
      <c r="R96" s="2" t="str">
        <f aca="false">IF(Q96=Topics!M96,"ok","differs from Topics")</f>
        <v>ok</v>
      </c>
    </row>
    <row r="97" customFormat="false" ht="15" hidden="false" customHeight="false" outlineLevel="0" collapsed="false">
      <c r="A97" s="2" t="s">
        <v>712</v>
      </c>
      <c r="B97" s="2" t="s">
        <v>34</v>
      </c>
      <c r="C97" s="2" t="s">
        <v>713</v>
      </c>
      <c r="D97" s="11"/>
      <c r="E97" s="11"/>
      <c r="F97" s="11"/>
      <c r="G97" s="11"/>
      <c r="H97" s="11"/>
      <c r="I97" s="11"/>
      <c r="J97" s="11" t="n">
        <v>8</v>
      </c>
      <c r="K97" s="11"/>
      <c r="L97" s="11"/>
      <c r="M97" s="11"/>
      <c r="N97" s="11"/>
      <c r="O97" s="11"/>
      <c r="P97" s="11"/>
      <c r="Q97" s="2" t="n">
        <f aca="false">SUM(D97:P97)</f>
        <v>8</v>
      </c>
      <c r="R97" s="2" t="str">
        <f aca="false">IF(Q97=Topics!M97,"ok","differs from Topics")</f>
        <v>ok</v>
      </c>
    </row>
    <row r="98" customFormat="false" ht="15" hidden="false" customHeight="false" outlineLevel="0" collapsed="false">
      <c r="A98" s="2" t="s">
        <v>718</v>
      </c>
      <c r="B98" s="2" t="s">
        <v>34</v>
      </c>
      <c r="C98" s="2" t="s">
        <v>719</v>
      </c>
      <c r="D98" s="11"/>
      <c r="E98" s="11"/>
      <c r="F98" s="11"/>
      <c r="G98" s="11"/>
      <c r="H98" s="11"/>
      <c r="I98" s="11"/>
      <c r="J98" s="11" t="n">
        <v>5</v>
      </c>
      <c r="K98" s="11"/>
      <c r="L98" s="11"/>
      <c r="M98" s="11"/>
      <c r="N98" s="11"/>
      <c r="O98" s="11"/>
      <c r="P98" s="11"/>
      <c r="Q98" s="2" t="n">
        <f aca="false">SUM(D98:P98)</f>
        <v>5</v>
      </c>
      <c r="R98" s="2" t="str">
        <f aca="false">IF(Q98=Topics!M98,"ok","differs from Topics")</f>
        <v>ok</v>
      </c>
    </row>
    <row r="99" customFormat="false" ht="15" hidden="false" customHeight="false" outlineLevel="0" collapsed="false">
      <c r="A99" s="2" t="s">
        <v>723</v>
      </c>
      <c r="B99" s="2" t="s">
        <v>34</v>
      </c>
      <c r="C99" s="2" t="s">
        <v>724</v>
      </c>
      <c r="D99" s="11"/>
      <c r="E99" s="11"/>
      <c r="F99" s="11"/>
      <c r="G99" s="11"/>
      <c r="H99" s="11"/>
      <c r="I99" s="11"/>
      <c r="J99" s="11" t="n">
        <v>2</v>
      </c>
      <c r="K99" s="11"/>
      <c r="L99" s="11" t="n">
        <v>1</v>
      </c>
      <c r="M99" s="11"/>
      <c r="N99" s="11"/>
      <c r="O99" s="11"/>
      <c r="P99" s="11"/>
      <c r="Q99" s="2" t="n">
        <f aca="false">SUM(D99:P99)</f>
        <v>3</v>
      </c>
      <c r="R99" s="2" t="str">
        <f aca="false">IF(Q99=Topics!M99,"ok","differs from Topics")</f>
        <v>ok</v>
      </c>
    </row>
    <row r="100" customFormat="false" ht="15" hidden="false" customHeight="false" outlineLevel="0" collapsed="false">
      <c r="A100" s="2" t="s">
        <v>729</v>
      </c>
      <c r="B100" s="2" t="s">
        <v>34</v>
      </c>
      <c r="C100" s="2" t="s">
        <v>730</v>
      </c>
      <c r="D100" s="11"/>
      <c r="E100" s="11"/>
      <c r="F100" s="11"/>
      <c r="G100" s="11"/>
      <c r="H100" s="11"/>
      <c r="I100" s="11"/>
      <c r="J100" s="11" t="n">
        <v>3</v>
      </c>
      <c r="K100" s="11"/>
      <c r="L100" s="11"/>
      <c r="M100" s="11"/>
      <c r="N100" s="11"/>
      <c r="O100" s="11"/>
      <c r="P100" s="11"/>
      <c r="Q100" s="2" t="n">
        <f aca="false">SUM(D100:P100)</f>
        <v>3</v>
      </c>
      <c r="R100" s="2" t="str">
        <f aca="false">IF(Q100=Topics!M100,"ok","differs from Topics")</f>
        <v>ok</v>
      </c>
    </row>
    <row r="101" customFormat="false" ht="15" hidden="false" customHeight="false" outlineLevel="0" collapsed="false">
      <c r="A101" s="2" t="s">
        <v>734</v>
      </c>
      <c r="B101" s="2" t="s">
        <v>34</v>
      </c>
      <c r="C101" s="2" t="s">
        <v>735</v>
      </c>
      <c r="D101" s="11"/>
      <c r="E101" s="11"/>
      <c r="F101" s="11"/>
      <c r="G101" s="11"/>
      <c r="H101" s="11"/>
      <c r="I101" s="11"/>
      <c r="J101" s="11" t="n">
        <v>3</v>
      </c>
      <c r="K101" s="11"/>
      <c r="L101" s="11" t="n">
        <v>1</v>
      </c>
      <c r="M101" s="11"/>
      <c r="N101" s="11"/>
      <c r="O101" s="11"/>
      <c r="P101" s="11"/>
      <c r="Q101" s="2" t="n">
        <f aca="false">SUM(D101:P101)</f>
        <v>4</v>
      </c>
      <c r="R101" s="2" t="str">
        <f aca="false">IF(Q101=Topics!M101,"ok","differs from Topics")</f>
        <v>ok</v>
      </c>
    </row>
    <row r="102" customFormat="false" ht="15" hidden="false" customHeight="false" outlineLevel="0" collapsed="false">
      <c r="A102" s="2" t="s">
        <v>740</v>
      </c>
      <c r="B102" s="2" t="s">
        <v>34</v>
      </c>
      <c r="C102" s="2" t="s">
        <v>742</v>
      </c>
      <c r="D102" s="11"/>
      <c r="E102" s="11"/>
      <c r="F102" s="11"/>
      <c r="G102" s="11"/>
      <c r="H102" s="11"/>
      <c r="I102" s="11"/>
      <c r="J102" s="11" t="n">
        <v>3</v>
      </c>
      <c r="K102" s="11" t="n">
        <v>1</v>
      </c>
      <c r="L102" s="11" t="n">
        <v>1</v>
      </c>
      <c r="M102" s="11"/>
      <c r="N102" s="11"/>
      <c r="O102" s="11"/>
      <c r="P102" s="11"/>
      <c r="Q102" s="2" t="n">
        <f aca="false">SUM(D102:P102)</f>
        <v>5</v>
      </c>
      <c r="R102" s="2" t="str">
        <f aca="false">IF(Q102=Topics!M102,"ok","differs from Topics")</f>
        <v>ok</v>
      </c>
    </row>
    <row r="103" customFormat="false" ht="15" hidden="false" customHeight="false" outlineLevel="0" collapsed="false">
      <c r="A103" s="2" t="s">
        <v>748</v>
      </c>
      <c r="B103" s="2" t="s">
        <v>34</v>
      </c>
      <c r="C103" s="2" t="s">
        <v>749</v>
      </c>
      <c r="D103" s="11"/>
      <c r="E103" s="11"/>
      <c r="F103" s="11"/>
      <c r="G103" s="11"/>
      <c r="H103" s="11"/>
      <c r="I103" s="11"/>
      <c r="J103" s="11" t="n">
        <v>3</v>
      </c>
      <c r="K103" s="11"/>
      <c r="L103" s="11"/>
      <c r="M103" s="11"/>
      <c r="N103" s="11"/>
      <c r="O103" s="11"/>
      <c r="P103" s="11"/>
      <c r="Q103" s="2" t="n">
        <f aca="false">SUM(D103:P103)</f>
        <v>3</v>
      </c>
      <c r="R103" s="2" t="str">
        <f aca="false">IF(Q103=Topics!M103,"ok","differs from Topics")</f>
        <v>ok</v>
      </c>
    </row>
    <row r="104" customFormat="false" ht="15" hidden="false" customHeight="false" outlineLevel="0" collapsed="false">
      <c r="A104" s="2" t="s">
        <v>753</v>
      </c>
      <c r="B104" s="2" t="s">
        <v>34</v>
      </c>
      <c r="C104" s="2" t="s">
        <v>754</v>
      </c>
      <c r="D104" s="11"/>
      <c r="E104" s="11"/>
      <c r="F104" s="11"/>
      <c r="G104" s="11"/>
      <c r="H104" s="11"/>
      <c r="I104" s="11"/>
      <c r="J104" s="11"/>
      <c r="K104" s="11"/>
      <c r="L104" s="11" t="n">
        <v>1</v>
      </c>
      <c r="M104" s="11"/>
      <c r="N104" s="11"/>
      <c r="O104" s="11"/>
      <c r="P104" s="11"/>
      <c r="Q104" s="2" t="n">
        <f aca="false">SUM(D104:P104)</f>
        <v>1</v>
      </c>
      <c r="R104" s="2" t="str">
        <f aca="false">IF(Q104=Topics!M104,"ok","differs from Topics")</f>
        <v>ok</v>
      </c>
    </row>
    <row r="105" customFormat="false" ht="15" hidden="false" customHeight="false" outlineLevel="0" collapsed="false">
      <c r="A105" s="2" t="s">
        <v>759</v>
      </c>
      <c r="B105" s="2" t="s">
        <v>34</v>
      </c>
      <c r="C105" s="2" t="s">
        <v>761</v>
      </c>
      <c r="D105" s="11"/>
      <c r="E105" s="11"/>
      <c r="F105" s="11"/>
      <c r="G105" s="11"/>
      <c r="H105" s="11"/>
      <c r="I105" s="11"/>
      <c r="J105" s="11"/>
      <c r="K105" s="11" t="n">
        <v>4</v>
      </c>
      <c r="L105" s="11" t="n">
        <v>2</v>
      </c>
      <c r="M105" s="11"/>
      <c r="N105" s="11"/>
      <c r="O105" s="11"/>
      <c r="P105" s="11"/>
      <c r="Q105" s="2" t="n">
        <f aca="false">SUM(D105:P105)</f>
        <v>6</v>
      </c>
      <c r="R105" s="2" t="str">
        <f aca="false">IF(Q105=Topics!M105,"ok","differs from Topics")</f>
        <v>ok</v>
      </c>
    </row>
    <row r="106" customFormat="false" ht="15" hidden="false" customHeight="false" outlineLevel="0" collapsed="false">
      <c r="A106" s="2" t="s">
        <v>767</v>
      </c>
      <c r="B106" s="2" t="s">
        <v>34</v>
      </c>
      <c r="C106" s="2" t="s">
        <v>768</v>
      </c>
      <c r="D106" s="11"/>
      <c r="E106" s="11"/>
      <c r="F106" s="11"/>
      <c r="G106" s="11"/>
      <c r="H106" s="11"/>
      <c r="I106" s="11"/>
      <c r="J106" s="11"/>
      <c r="K106" s="11" t="n">
        <v>2</v>
      </c>
      <c r="L106" s="11" t="n">
        <v>1</v>
      </c>
      <c r="M106" s="11"/>
      <c r="N106" s="11"/>
      <c r="O106" s="11"/>
      <c r="P106" s="11"/>
      <c r="Q106" s="2" t="n">
        <f aca="false">SUM(D106:P106)</f>
        <v>3</v>
      </c>
      <c r="R106" s="2" t="str">
        <f aca="false">IF(Q106=Topics!M106,"ok","differs from Topics")</f>
        <v>ok</v>
      </c>
    </row>
    <row r="107" customFormat="false" ht="15" hidden="false" customHeight="false" outlineLevel="0" collapsed="false">
      <c r="A107" s="2" t="s">
        <v>773</v>
      </c>
      <c r="B107" s="2" t="s">
        <v>34</v>
      </c>
      <c r="C107" s="2" t="s">
        <v>774</v>
      </c>
      <c r="D107" s="11"/>
      <c r="E107" s="11"/>
      <c r="F107" s="11"/>
      <c r="G107" s="11"/>
      <c r="H107" s="11"/>
      <c r="I107" s="11"/>
      <c r="J107" s="11"/>
      <c r="K107" s="11" t="n">
        <v>6</v>
      </c>
      <c r="L107" s="11" t="n">
        <v>2</v>
      </c>
      <c r="M107" s="11"/>
      <c r="N107" s="11"/>
      <c r="O107" s="11"/>
      <c r="P107" s="11"/>
      <c r="Q107" s="2" t="n">
        <f aca="false">SUM(D107:P107)</f>
        <v>8</v>
      </c>
      <c r="R107" s="2" t="str">
        <f aca="false">IF(Q107=Topics!M107,"ok","differs from Topics")</f>
        <v>ok</v>
      </c>
    </row>
    <row r="108" customFormat="false" ht="15" hidden="false" customHeight="false" outlineLevel="0" collapsed="false">
      <c r="A108" s="2" t="s">
        <v>780</v>
      </c>
      <c r="B108" s="2" t="s">
        <v>34</v>
      </c>
      <c r="C108" s="2" t="s">
        <v>782</v>
      </c>
      <c r="D108" s="11"/>
      <c r="E108" s="11"/>
      <c r="F108" s="11"/>
      <c r="G108" s="11"/>
      <c r="H108" s="11"/>
      <c r="I108" s="11"/>
      <c r="J108" s="11"/>
      <c r="K108" s="11" t="n">
        <v>7</v>
      </c>
      <c r="L108" s="11"/>
      <c r="M108" s="11"/>
      <c r="N108" s="11"/>
      <c r="O108" s="11"/>
      <c r="P108" s="11"/>
      <c r="Q108" s="2" t="n">
        <f aca="false">SUM(D108:P108)</f>
        <v>7</v>
      </c>
      <c r="R108" s="2" t="str">
        <f aca="false">IF(Q108=Topics!M108,"ok","differs from Topics")</f>
        <v>ok</v>
      </c>
    </row>
    <row r="109" customFormat="false" ht="15" hidden="false" customHeight="false" outlineLevel="0" collapsed="false">
      <c r="A109" s="2" t="s">
        <v>787</v>
      </c>
      <c r="B109" s="2" t="s">
        <v>34</v>
      </c>
      <c r="C109" s="2" t="s">
        <v>788</v>
      </c>
      <c r="D109" s="11"/>
      <c r="E109" s="11"/>
      <c r="F109" s="11"/>
      <c r="G109" s="11"/>
      <c r="H109" s="11"/>
      <c r="I109" s="11"/>
      <c r="J109" s="11"/>
      <c r="K109" s="11" t="n">
        <v>7</v>
      </c>
      <c r="L109" s="11"/>
      <c r="M109" s="11"/>
      <c r="N109" s="11"/>
      <c r="O109" s="11"/>
      <c r="P109" s="11"/>
      <c r="Q109" s="2" t="n">
        <f aca="false">SUM(D109:P109)</f>
        <v>7</v>
      </c>
      <c r="R109" s="2" t="str">
        <f aca="false">IF(Q109=Topics!M109,"ok","differs from Topics")</f>
        <v>ok</v>
      </c>
    </row>
    <row r="110" customFormat="false" ht="15" hidden="false" customHeight="false" outlineLevel="0" collapsed="false">
      <c r="A110" s="2" t="s">
        <v>793</v>
      </c>
      <c r="B110" s="2" t="s">
        <v>34</v>
      </c>
      <c r="C110" s="2" t="s">
        <v>794</v>
      </c>
      <c r="D110" s="11"/>
      <c r="E110" s="11"/>
      <c r="F110" s="11"/>
      <c r="G110" s="11"/>
      <c r="H110" s="11"/>
      <c r="I110" s="11"/>
      <c r="J110" s="11"/>
      <c r="K110" s="11" t="n">
        <v>4</v>
      </c>
      <c r="L110" s="11" t="n">
        <v>1</v>
      </c>
      <c r="M110" s="11"/>
      <c r="N110" s="11"/>
      <c r="O110" s="11"/>
      <c r="P110" s="11"/>
      <c r="Q110" s="2" t="n">
        <f aca="false">SUM(D110:P110)</f>
        <v>5</v>
      </c>
      <c r="R110" s="2" t="str">
        <f aca="false">IF(Q110=Topics!M110,"ok","differs from Topics")</f>
        <v>ok</v>
      </c>
    </row>
    <row r="111" customFormat="false" ht="15" hidden="false" customHeight="false" outlineLevel="0" collapsed="false">
      <c r="A111" s="2" t="s">
        <v>800</v>
      </c>
      <c r="B111" s="2" t="s">
        <v>34</v>
      </c>
      <c r="C111" s="2" t="s">
        <v>801</v>
      </c>
      <c r="D111" s="11"/>
      <c r="E111" s="11"/>
      <c r="F111" s="11"/>
      <c r="G111" s="11"/>
      <c r="H111" s="11"/>
      <c r="I111" s="11"/>
      <c r="J111" s="11"/>
      <c r="K111" s="11" t="n">
        <v>3</v>
      </c>
      <c r="L111" s="11" t="n">
        <v>2</v>
      </c>
      <c r="M111" s="11"/>
      <c r="N111" s="11"/>
      <c r="O111" s="11"/>
      <c r="P111" s="11"/>
      <c r="Q111" s="2" t="n">
        <f aca="false">SUM(D111:P111)</f>
        <v>5</v>
      </c>
      <c r="R111" s="2" t="str">
        <f aca="false">IF(Q111=Topics!M111,"ok","differs from Topics")</f>
        <v>ok</v>
      </c>
    </row>
    <row r="112" customFormat="false" ht="15" hidden="false" customHeight="false" outlineLevel="0" collapsed="false">
      <c r="A112" s="2" t="s">
        <v>806</v>
      </c>
      <c r="B112" s="2" t="s">
        <v>34</v>
      </c>
      <c r="C112" s="2" t="s">
        <v>807</v>
      </c>
      <c r="D112" s="11"/>
      <c r="E112" s="11"/>
      <c r="F112" s="11"/>
      <c r="G112" s="11"/>
      <c r="H112" s="11"/>
      <c r="I112" s="11"/>
      <c r="J112" s="11"/>
      <c r="K112" s="11" t="n">
        <v>10</v>
      </c>
      <c r="L112" s="11"/>
      <c r="M112" s="11"/>
      <c r="N112" s="11"/>
      <c r="O112" s="11"/>
      <c r="P112" s="11"/>
      <c r="Q112" s="2" t="n">
        <f aca="false">SUM(D112:P112)</f>
        <v>10</v>
      </c>
      <c r="R112" s="2" t="str">
        <f aca="false">IF(Q112=Topics!M112,"ok","differs from Topics")</f>
        <v>ok</v>
      </c>
    </row>
    <row r="113" customFormat="false" ht="15" hidden="false" customHeight="false" outlineLevel="0" collapsed="false">
      <c r="A113" s="2" t="s">
        <v>812</v>
      </c>
      <c r="B113" s="2" t="s">
        <v>34</v>
      </c>
      <c r="C113" s="2" t="s">
        <v>813</v>
      </c>
      <c r="D113" s="11"/>
      <c r="E113" s="11"/>
      <c r="F113" s="11"/>
      <c r="G113" s="11"/>
      <c r="H113" s="11"/>
      <c r="I113" s="11"/>
      <c r="J113" s="11"/>
      <c r="K113" s="11" t="n">
        <v>3</v>
      </c>
      <c r="L113" s="11" t="n">
        <v>2</v>
      </c>
      <c r="M113" s="11"/>
      <c r="N113" s="11"/>
      <c r="O113" s="11"/>
      <c r="P113" s="11"/>
      <c r="Q113" s="2" t="n">
        <f aca="false">SUM(D113:P113)</f>
        <v>5</v>
      </c>
      <c r="R113" s="2" t="str">
        <f aca="false">IF(Q113=Topics!M113,"ok","differs from Topics")</f>
        <v>ok</v>
      </c>
    </row>
    <row r="114" customFormat="false" ht="15" hidden="false" customHeight="false" outlineLevel="0" collapsed="false">
      <c r="A114" s="2" t="s">
        <v>819</v>
      </c>
      <c r="B114" s="2" t="s">
        <v>34</v>
      </c>
      <c r="C114" s="2" t="s">
        <v>820</v>
      </c>
      <c r="D114" s="11"/>
      <c r="E114" s="11"/>
      <c r="F114" s="11"/>
      <c r="G114" s="11"/>
      <c r="H114" s="11"/>
      <c r="I114" s="11"/>
      <c r="J114" s="11"/>
      <c r="K114" s="11" t="n">
        <v>4</v>
      </c>
      <c r="L114" s="11"/>
      <c r="M114" s="11"/>
      <c r="N114" s="11"/>
      <c r="O114" s="11"/>
      <c r="P114" s="11"/>
      <c r="Q114" s="2" t="n">
        <f aca="false">SUM(D114:P114)</f>
        <v>4</v>
      </c>
      <c r="R114" s="2" t="str">
        <f aca="false">IF(Q114=Topics!M114,"ok","differs from Topics")</f>
        <v>ok</v>
      </c>
    </row>
    <row r="115" customFormat="false" ht="15" hidden="false" customHeight="false" outlineLevel="0" collapsed="false">
      <c r="A115" s="2" t="s">
        <v>825</v>
      </c>
      <c r="B115" s="2" t="s">
        <v>34</v>
      </c>
      <c r="C115" s="2" t="s">
        <v>826</v>
      </c>
      <c r="D115" s="11"/>
      <c r="E115" s="11"/>
      <c r="F115" s="11"/>
      <c r="G115" s="11"/>
      <c r="H115" s="11"/>
      <c r="I115" s="11"/>
      <c r="J115" s="11"/>
      <c r="K115" s="11" t="n">
        <v>5</v>
      </c>
      <c r="L115" s="11" t="n">
        <v>1</v>
      </c>
      <c r="M115" s="11"/>
      <c r="N115" s="11"/>
      <c r="O115" s="11"/>
      <c r="P115" s="11"/>
      <c r="Q115" s="2" t="n">
        <f aca="false">SUM(D115:P115)</f>
        <v>6</v>
      </c>
      <c r="R115" s="2" t="str">
        <f aca="false">IF(Q115=Topics!M115,"ok","differs from Topics")</f>
        <v>ok</v>
      </c>
    </row>
    <row r="116" customFormat="false" ht="15" hidden="false" customHeight="false" outlineLevel="0" collapsed="false">
      <c r="A116" s="2" t="s">
        <v>831</v>
      </c>
      <c r="B116" s="2" t="s">
        <v>34</v>
      </c>
      <c r="C116" s="2" t="s">
        <v>832</v>
      </c>
      <c r="D116" s="11"/>
      <c r="E116" s="11"/>
      <c r="F116" s="11"/>
      <c r="G116" s="11"/>
      <c r="H116" s="11"/>
      <c r="I116" s="11"/>
      <c r="J116" s="11"/>
      <c r="K116" s="11" t="n">
        <v>3</v>
      </c>
      <c r="L116" s="11"/>
      <c r="M116" s="11"/>
      <c r="N116" s="11"/>
      <c r="O116" s="11"/>
      <c r="P116" s="11"/>
      <c r="Q116" s="2" t="n">
        <f aca="false">SUM(D116:P116)</f>
        <v>3</v>
      </c>
      <c r="R116" s="2" t="str">
        <f aca="false">IF(Q116=Topics!M116,"ok","differs from Topics")</f>
        <v>ok</v>
      </c>
    </row>
    <row r="117" customFormat="false" ht="15" hidden="false" customHeight="false" outlineLevel="0" collapsed="false">
      <c r="A117" s="2" t="s">
        <v>836</v>
      </c>
      <c r="B117" s="2" t="s">
        <v>34</v>
      </c>
      <c r="C117" s="2" t="s">
        <v>837</v>
      </c>
      <c r="D117" s="11"/>
      <c r="E117" s="11"/>
      <c r="F117" s="11"/>
      <c r="G117" s="11"/>
      <c r="H117" s="11"/>
      <c r="I117" s="11"/>
      <c r="J117" s="11"/>
      <c r="K117" s="11" t="n">
        <v>5</v>
      </c>
      <c r="L117" s="11"/>
      <c r="M117" s="11"/>
      <c r="N117" s="11"/>
      <c r="O117" s="11"/>
      <c r="P117" s="11"/>
      <c r="Q117" s="2" t="n">
        <f aca="false">SUM(D117:P117)</f>
        <v>5</v>
      </c>
      <c r="R117" s="2" t="str">
        <f aca="false">IF(Q117=Topics!M117,"ok","differs from Topics")</f>
        <v>ok</v>
      </c>
    </row>
    <row r="118" customFormat="false" ht="15" hidden="false" customHeight="false" outlineLevel="0" collapsed="false">
      <c r="A118" s="2" t="s">
        <v>841</v>
      </c>
      <c r="B118" s="2" t="s">
        <v>34</v>
      </c>
      <c r="C118" s="2" t="s">
        <v>842</v>
      </c>
      <c r="D118" s="11"/>
      <c r="E118" s="11"/>
      <c r="F118" s="11"/>
      <c r="G118" s="11"/>
      <c r="H118" s="11"/>
      <c r="I118" s="11"/>
      <c r="J118" s="11"/>
      <c r="K118" s="11" t="n">
        <v>5</v>
      </c>
      <c r="L118" s="11"/>
      <c r="M118" s="11"/>
      <c r="N118" s="11"/>
      <c r="O118" s="11"/>
      <c r="P118" s="11"/>
      <c r="Q118" s="2" t="n">
        <f aca="false">SUM(D118:P118)</f>
        <v>5</v>
      </c>
      <c r="R118" s="2" t="str">
        <f aca="false">IF(Q118=Topics!M118,"ok","differs from Topics")</f>
        <v>ok</v>
      </c>
    </row>
    <row r="119" customFormat="false" ht="15" hidden="false" customHeight="false" outlineLevel="0" collapsed="false">
      <c r="A119" s="2" t="s">
        <v>846</v>
      </c>
      <c r="B119" s="2" t="s">
        <v>34</v>
      </c>
      <c r="C119" s="2" t="s">
        <v>847</v>
      </c>
      <c r="D119" s="11"/>
      <c r="E119" s="11"/>
      <c r="F119" s="11"/>
      <c r="G119" s="11"/>
      <c r="H119" s="11"/>
      <c r="I119" s="11"/>
      <c r="J119" s="11"/>
      <c r="K119" s="11" t="n">
        <v>6</v>
      </c>
      <c r="L119" s="11"/>
      <c r="M119" s="11"/>
      <c r="N119" s="11"/>
      <c r="O119" s="11"/>
      <c r="P119" s="11"/>
      <c r="Q119" s="2" t="n">
        <f aca="false">SUM(D119:P119)</f>
        <v>6</v>
      </c>
      <c r="R119" s="2" t="str">
        <f aca="false">IF(Q119=Topics!M119,"ok","differs from Topics")</f>
        <v>ok</v>
      </c>
    </row>
    <row r="120" customFormat="false" ht="15" hidden="false" customHeight="false" outlineLevel="0" collapsed="false">
      <c r="A120" s="2" t="s">
        <v>851</v>
      </c>
      <c r="B120" s="2" t="s">
        <v>34</v>
      </c>
      <c r="C120" s="2" t="s">
        <v>852</v>
      </c>
      <c r="D120" s="11"/>
      <c r="E120" s="11"/>
      <c r="F120" s="11"/>
      <c r="G120" s="11"/>
      <c r="H120" s="11"/>
      <c r="I120" s="11"/>
      <c r="J120" s="11"/>
      <c r="K120" s="11" t="n">
        <v>7</v>
      </c>
      <c r="L120" s="11"/>
      <c r="M120" s="11"/>
      <c r="N120" s="11"/>
      <c r="O120" s="11"/>
      <c r="P120" s="11"/>
      <c r="Q120" s="2" t="n">
        <f aca="false">SUM(D120:P120)</f>
        <v>7</v>
      </c>
      <c r="R120" s="2" t="str">
        <f aca="false">IF(Q120=Topics!M120,"ok","differs from Topics")</f>
        <v>ok</v>
      </c>
    </row>
    <row r="121" customFormat="false" ht="15" hidden="false" customHeight="false" outlineLevel="0" collapsed="false">
      <c r="A121" s="2" t="s">
        <v>856</v>
      </c>
      <c r="B121" s="2" t="s">
        <v>34</v>
      </c>
      <c r="C121" s="2" t="s">
        <v>857</v>
      </c>
      <c r="D121" s="11"/>
      <c r="E121" s="11"/>
      <c r="F121" s="11"/>
      <c r="G121" s="11"/>
      <c r="H121" s="11"/>
      <c r="I121" s="11"/>
      <c r="J121" s="11"/>
      <c r="K121" s="11" t="n">
        <v>3</v>
      </c>
      <c r="L121" s="11" t="n">
        <v>2</v>
      </c>
      <c r="M121" s="11"/>
      <c r="N121" s="11"/>
      <c r="O121" s="11"/>
      <c r="P121" s="11"/>
      <c r="Q121" s="2" t="n">
        <f aca="false">SUM(D121:P121)</f>
        <v>5</v>
      </c>
      <c r="R121" s="2" t="str">
        <f aca="false">IF(Q121=Topics!M121,"ok","differs from Topics")</f>
        <v>ok</v>
      </c>
    </row>
    <row r="122" customFormat="false" ht="15" hidden="false" customHeight="false" outlineLevel="0" collapsed="false">
      <c r="A122" s="2" t="s">
        <v>862</v>
      </c>
      <c r="B122" s="2" t="s">
        <v>34</v>
      </c>
      <c r="C122" s="2" t="s">
        <v>863</v>
      </c>
      <c r="D122" s="11"/>
      <c r="E122" s="11"/>
      <c r="F122" s="11"/>
      <c r="G122" s="11"/>
      <c r="H122" s="11"/>
      <c r="I122" s="11"/>
      <c r="J122" s="11"/>
      <c r="K122" s="11" t="n">
        <v>6</v>
      </c>
      <c r="L122" s="11"/>
      <c r="M122" s="11"/>
      <c r="N122" s="11"/>
      <c r="O122" s="11"/>
      <c r="P122" s="11"/>
      <c r="Q122" s="2" t="n">
        <f aca="false">SUM(D122:P122)</f>
        <v>6</v>
      </c>
      <c r="R122" s="2" t="str">
        <f aca="false">IF(Q122=Topics!M122,"ok","differs from Topics")</f>
        <v>ok</v>
      </c>
    </row>
    <row r="123" customFormat="false" ht="15" hidden="false" customHeight="false" outlineLevel="0" collapsed="false">
      <c r="A123" s="2" t="s">
        <v>868</v>
      </c>
      <c r="B123" s="2" t="s">
        <v>34</v>
      </c>
      <c r="C123" s="2" t="s">
        <v>869</v>
      </c>
      <c r="D123" s="11"/>
      <c r="E123" s="11"/>
      <c r="F123" s="11"/>
      <c r="G123" s="11"/>
      <c r="H123" s="11"/>
      <c r="I123" s="11"/>
      <c r="J123" s="11"/>
      <c r="K123" s="11" t="n">
        <v>5</v>
      </c>
      <c r="L123" s="11" t="n">
        <v>3</v>
      </c>
      <c r="M123" s="11"/>
      <c r="N123" s="11"/>
      <c r="O123" s="11"/>
      <c r="P123" s="11"/>
      <c r="Q123" s="2" t="n">
        <f aca="false">SUM(D123:P123)</f>
        <v>8</v>
      </c>
      <c r="R123" s="2" t="str">
        <f aca="false">IF(Q123=Topics!M123,"ok","differs from Topics")</f>
        <v>ok</v>
      </c>
    </row>
    <row r="124" customFormat="false" ht="15" hidden="false" customHeight="false" outlineLevel="0" collapsed="false">
      <c r="A124" s="2" t="s">
        <v>874</v>
      </c>
      <c r="B124" s="2" t="s">
        <v>34</v>
      </c>
      <c r="C124" s="2" t="s">
        <v>875</v>
      </c>
      <c r="D124" s="11"/>
      <c r="E124" s="11"/>
      <c r="F124" s="11"/>
      <c r="G124" s="11"/>
      <c r="H124" s="11"/>
      <c r="I124" s="11"/>
      <c r="J124" s="11"/>
      <c r="K124" s="11" t="n">
        <v>2</v>
      </c>
      <c r="L124" s="11" t="n">
        <v>2</v>
      </c>
      <c r="M124" s="11"/>
      <c r="N124" s="11"/>
      <c r="O124" s="11"/>
      <c r="P124" s="11"/>
      <c r="Q124" s="2" t="n">
        <f aca="false">SUM(D124:P124)</f>
        <v>4</v>
      </c>
      <c r="R124" s="2" t="str">
        <f aca="false">IF(Q124=Topics!M124,"ok","differs from Topics")</f>
        <v>ok</v>
      </c>
    </row>
    <row r="125" customFormat="false" ht="15" hidden="false" customHeight="false" outlineLevel="0" collapsed="false">
      <c r="A125" s="2" t="s">
        <v>880</v>
      </c>
      <c r="B125" s="2" t="s">
        <v>34</v>
      </c>
      <c r="C125" s="2" t="s">
        <v>881</v>
      </c>
      <c r="D125" s="11"/>
      <c r="E125" s="11"/>
      <c r="F125" s="11"/>
      <c r="G125" s="11"/>
      <c r="H125" s="11"/>
      <c r="I125" s="11"/>
      <c r="J125" s="11"/>
      <c r="K125" s="11"/>
      <c r="L125" s="11" t="n">
        <v>6</v>
      </c>
      <c r="M125" s="11"/>
      <c r="N125" s="11"/>
      <c r="O125" s="11"/>
      <c r="P125" s="11"/>
      <c r="Q125" s="2" t="n">
        <f aca="false">SUM(D125:P125)</f>
        <v>6</v>
      </c>
      <c r="R125" s="2" t="str">
        <f aca="false">IF(Q125=Topics!M125,"ok","differs from Topics")</f>
        <v>ok</v>
      </c>
    </row>
    <row r="126" customFormat="false" ht="15" hidden="false" customHeight="false" outlineLevel="0" collapsed="false">
      <c r="A126" s="2" t="s">
        <v>887</v>
      </c>
      <c r="B126" s="2" t="s">
        <v>34</v>
      </c>
      <c r="C126" s="2" t="s">
        <v>888</v>
      </c>
      <c r="D126" s="11"/>
      <c r="E126" s="11"/>
      <c r="F126" s="11"/>
      <c r="G126" s="11"/>
      <c r="H126" s="11"/>
      <c r="I126" s="11"/>
      <c r="J126" s="11"/>
      <c r="K126" s="11"/>
      <c r="L126" s="11" t="n">
        <v>2</v>
      </c>
      <c r="M126" s="11"/>
      <c r="N126" s="11"/>
      <c r="O126" s="11"/>
      <c r="P126" s="11"/>
      <c r="Q126" s="2" t="n">
        <f aca="false">SUM(D126:P126)</f>
        <v>2</v>
      </c>
      <c r="R126" s="2" t="str">
        <f aca="false">IF(Q126=Topics!M126,"ok","differs from Topics")</f>
        <v>ok</v>
      </c>
    </row>
    <row r="127" customFormat="false" ht="15" hidden="false" customHeight="false" outlineLevel="0" collapsed="false">
      <c r="A127" s="2" t="s">
        <v>894</v>
      </c>
      <c r="B127" s="2" t="s">
        <v>34</v>
      </c>
      <c r="C127" s="2" t="s">
        <v>895</v>
      </c>
      <c r="D127" s="11"/>
      <c r="E127" s="11"/>
      <c r="F127" s="11"/>
      <c r="G127" s="11"/>
      <c r="H127" s="11"/>
      <c r="I127" s="11"/>
      <c r="J127" s="11"/>
      <c r="K127" s="11"/>
      <c r="L127" s="11" t="n">
        <v>4</v>
      </c>
      <c r="M127" s="11"/>
      <c r="N127" s="11"/>
      <c r="O127" s="11"/>
      <c r="P127" s="11"/>
      <c r="Q127" s="2" t="n">
        <f aca="false">SUM(D127:P127)</f>
        <v>4</v>
      </c>
      <c r="R127" s="2" t="str">
        <f aca="false">IF(Q127=Topics!M127,"ok","differs from Topics")</f>
        <v>ok</v>
      </c>
    </row>
    <row r="128" customFormat="false" ht="15" hidden="false" customHeight="false" outlineLevel="0" collapsed="false">
      <c r="A128" s="2" t="s">
        <v>900</v>
      </c>
      <c r="B128" s="2" t="s">
        <v>34</v>
      </c>
      <c r="C128" s="2" t="s">
        <v>901</v>
      </c>
      <c r="D128" s="11"/>
      <c r="E128" s="11"/>
      <c r="F128" s="11"/>
      <c r="G128" s="11"/>
      <c r="H128" s="11"/>
      <c r="I128" s="11"/>
      <c r="J128" s="11"/>
      <c r="K128" s="11"/>
      <c r="L128" s="11" t="n">
        <v>5</v>
      </c>
      <c r="M128" s="11"/>
      <c r="N128" s="11"/>
      <c r="O128" s="11"/>
      <c r="P128" s="11"/>
      <c r="Q128" s="2" t="n">
        <f aca="false">SUM(D128:P128)</f>
        <v>5</v>
      </c>
      <c r="R128" s="2" t="str">
        <f aca="false">IF(Q128=Topics!M128,"ok","differs from Topics")</f>
        <v>ok</v>
      </c>
    </row>
    <row r="129" customFormat="false" ht="15" hidden="false" customHeight="false" outlineLevel="0" collapsed="false">
      <c r="A129" s="2" t="s">
        <v>906</v>
      </c>
      <c r="B129" s="2" t="s">
        <v>34</v>
      </c>
      <c r="C129" s="2" t="s">
        <v>907</v>
      </c>
      <c r="D129" s="11"/>
      <c r="E129" s="11"/>
      <c r="F129" s="11"/>
      <c r="G129" s="11"/>
      <c r="H129" s="11"/>
      <c r="I129" s="11"/>
      <c r="J129" s="11"/>
      <c r="K129" s="11"/>
      <c r="L129" s="11" t="n">
        <v>4</v>
      </c>
      <c r="M129" s="11"/>
      <c r="N129" s="11"/>
      <c r="O129" s="11"/>
      <c r="P129" s="11"/>
      <c r="Q129" s="2" t="n">
        <f aca="false">SUM(D129:P129)</f>
        <v>4</v>
      </c>
      <c r="R129" s="2" t="str">
        <f aca="false">IF(Q129=Topics!M129,"ok","differs from Topics")</f>
        <v>ok</v>
      </c>
    </row>
    <row r="130" customFormat="false" ht="15" hidden="false" customHeight="false" outlineLevel="0" collapsed="false">
      <c r="A130" s="2" t="s">
        <v>912</v>
      </c>
      <c r="B130" s="2" t="s">
        <v>34</v>
      </c>
      <c r="C130" s="2" t="s">
        <v>913</v>
      </c>
      <c r="D130" s="11"/>
      <c r="E130" s="11"/>
      <c r="F130" s="11"/>
      <c r="G130" s="11"/>
      <c r="H130" s="11"/>
      <c r="I130" s="11"/>
      <c r="J130" s="11"/>
      <c r="K130" s="11"/>
      <c r="L130" s="11" t="n">
        <v>6</v>
      </c>
      <c r="M130" s="11"/>
      <c r="N130" s="11"/>
      <c r="O130" s="11"/>
      <c r="P130" s="11"/>
      <c r="Q130" s="2" t="n">
        <f aca="false">SUM(D130:P130)</f>
        <v>6</v>
      </c>
      <c r="R130" s="2" t="str">
        <f aca="false">IF(Q130=Topics!M130,"ok","differs from Topics")</f>
        <v>ok</v>
      </c>
    </row>
    <row r="131" customFormat="false" ht="15" hidden="false" customHeight="false" outlineLevel="0" collapsed="false">
      <c r="A131" s="2" t="s">
        <v>919</v>
      </c>
      <c r="B131" s="2" t="s">
        <v>34</v>
      </c>
      <c r="C131" s="2" t="s">
        <v>920</v>
      </c>
      <c r="D131" s="11"/>
      <c r="E131" s="11"/>
      <c r="F131" s="11"/>
      <c r="G131" s="11"/>
      <c r="H131" s="11"/>
      <c r="I131" s="11"/>
      <c r="J131" s="11"/>
      <c r="K131" s="11"/>
      <c r="L131" s="11" t="n">
        <v>9</v>
      </c>
      <c r="M131" s="11"/>
      <c r="N131" s="11"/>
      <c r="O131" s="11"/>
      <c r="P131" s="11"/>
      <c r="Q131" s="2" t="n">
        <f aca="false">SUM(D131:P131)</f>
        <v>9</v>
      </c>
      <c r="R131" s="2" t="str">
        <f aca="false">IF(Q131=Topics!M131,"ok","differs from Topics")</f>
        <v>ok</v>
      </c>
    </row>
    <row r="132" customFormat="false" ht="15" hidden="false" customHeight="false" outlineLevel="0" collapsed="false">
      <c r="A132" s="2" t="s">
        <v>925</v>
      </c>
      <c r="B132" s="2" t="s">
        <v>34</v>
      </c>
      <c r="C132" s="2" t="s">
        <v>926</v>
      </c>
      <c r="D132" s="11"/>
      <c r="E132" s="11"/>
      <c r="F132" s="11"/>
      <c r="G132" s="11"/>
      <c r="H132" s="11"/>
      <c r="I132" s="11"/>
      <c r="J132" s="11"/>
      <c r="K132" s="11"/>
      <c r="L132" s="11" t="n">
        <v>15</v>
      </c>
      <c r="M132" s="11"/>
      <c r="N132" s="11"/>
      <c r="O132" s="11"/>
      <c r="P132" s="11"/>
      <c r="Q132" s="2" t="n">
        <f aca="false">SUM(D132:P132)</f>
        <v>15</v>
      </c>
      <c r="R132" s="2" t="str">
        <f aca="false">IF(Q132=Topics!M132,"ok","differs from Topics")</f>
        <v>ok</v>
      </c>
    </row>
    <row r="133" customFormat="false" ht="15" hidden="false" customHeight="false" outlineLevel="0" collapsed="false">
      <c r="A133" s="2" t="s">
        <v>932</v>
      </c>
      <c r="B133" s="2" t="s">
        <v>34</v>
      </c>
      <c r="C133" s="2" t="s">
        <v>933</v>
      </c>
      <c r="D133" s="11"/>
      <c r="E133" s="11"/>
      <c r="F133" s="11"/>
      <c r="G133" s="11"/>
      <c r="H133" s="11"/>
      <c r="I133" s="11"/>
      <c r="J133" s="11"/>
      <c r="K133" s="11"/>
      <c r="L133" s="11" t="n">
        <v>4</v>
      </c>
      <c r="M133" s="11"/>
      <c r="N133" s="11"/>
      <c r="O133" s="11"/>
      <c r="P133" s="11"/>
      <c r="Q133" s="2" t="n">
        <f aca="false">SUM(D133:P133)</f>
        <v>4</v>
      </c>
      <c r="R133" s="2" t="str">
        <f aca="false">IF(Q133=Topics!M133,"ok","differs from Topics")</f>
        <v>ok</v>
      </c>
    </row>
    <row r="134" customFormat="false" ht="15" hidden="false" customHeight="false" outlineLevel="0" collapsed="false">
      <c r="A134" s="2" t="s">
        <v>938</v>
      </c>
      <c r="B134" s="2" t="s">
        <v>34</v>
      </c>
      <c r="C134" s="2" t="s">
        <v>939</v>
      </c>
      <c r="D134" s="11"/>
      <c r="E134" s="11"/>
      <c r="F134" s="11"/>
      <c r="G134" s="11"/>
      <c r="H134" s="11"/>
      <c r="I134" s="11"/>
      <c r="J134" s="11"/>
      <c r="K134" s="11"/>
      <c r="L134" s="11" t="n">
        <v>7</v>
      </c>
      <c r="M134" s="11"/>
      <c r="N134" s="11"/>
      <c r="O134" s="11"/>
      <c r="P134" s="11"/>
      <c r="Q134" s="2" t="n">
        <f aca="false">SUM(D134:P134)</f>
        <v>7</v>
      </c>
      <c r="R134" s="2" t="str">
        <f aca="false">IF(Q134=Topics!M134,"ok","differs from Topics")</f>
        <v>ok</v>
      </c>
    </row>
    <row r="135" customFormat="false" ht="15" hidden="false" customHeight="false" outlineLevel="0" collapsed="false">
      <c r="A135" s="2" t="s">
        <v>944</v>
      </c>
      <c r="B135" s="2" t="s">
        <v>34</v>
      </c>
      <c r="C135" s="2" t="s">
        <v>945</v>
      </c>
      <c r="D135" s="11"/>
      <c r="E135" s="11"/>
      <c r="F135" s="11"/>
      <c r="G135" s="11"/>
      <c r="H135" s="11"/>
      <c r="I135" s="11"/>
      <c r="J135" s="11"/>
      <c r="K135" s="11"/>
      <c r="L135" s="11" t="n">
        <v>3</v>
      </c>
      <c r="M135" s="11"/>
      <c r="N135" s="11"/>
      <c r="O135" s="11"/>
      <c r="P135" s="11"/>
      <c r="Q135" s="2" t="n">
        <f aca="false">SUM(D135:P135)</f>
        <v>3</v>
      </c>
      <c r="R135" s="2" t="str">
        <f aca="false">IF(Q135=Topics!M135,"ok","differs from Topics")</f>
        <v>ok</v>
      </c>
    </row>
    <row r="136" customFormat="false" ht="15" hidden="false" customHeight="false" outlineLevel="0" collapsed="false">
      <c r="A136" s="2" t="s">
        <v>950</v>
      </c>
      <c r="B136" s="2" t="s">
        <v>34</v>
      </c>
      <c r="C136" s="2" t="s">
        <v>951</v>
      </c>
      <c r="D136" s="11"/>
      <c r="E136" s="11"/>
      <c r="F136" s="11"/>
      <c r="G136" s="11"/>
      <c r="H136" s="11"/>
      <c r="I136" s="11"/>
      <c r="J136" s="11"/>
      <c r="K136" s="11"/>
      <c r="L136" s="11" t="n">
        <v>5</v>
      </c>
      <c r="M136" s="11"/>
      <c r="N136" s="11"/>
      <c r="O136" s="11"/>
      <c r="P136" s="11"/>
      <c r="Q136" s="2" t="n">
        <f aca="false">SUM(D136:P136)</f>
        <v>5</v>
      </c>
      <c r="R136" s="2" t="str">
        <f aca="false">IF(Q136=Topics!M136,"ok","differs from Topics")</f>
        <v>ok</v>
      </c>
    </row>
    <row r="137" customFormat="false" ht="15" hidden="false" customHeight="false" outlineLevel="0" collapsed="false">
      <c r="A137" s="2" t="s">
        <v>956</v>
      </c>
      <c r="B137" s="2" t="s">
        <v>34</v>
      </c>
      <c r="C137" s="2" t="s">
        <v>957</v>
      </c>
      <c r="D137" s="11"/>
      <c r="E137" s="11"/>
      <c r="F137" s="11"/>
      <c r="G137" s="11"/>
      <c r="H137" s="11"/>
      <c r="I137" s="11"/>
      <c r="J137" s="11"/>
      <c r="K137" s="11"/>
      <c r="L137" s="11" t="n">
        <v>5</v>
      </c>
      <c r="M137" s="11"/>
      <c r="N137" s="11"/>
      <c r="O137" s="11"/>
      <c r="P137" s="11"/>
      <c r="Q137" s="2" t="n">
        <f aca="false">SUM(D137:P137)</f>
        <v>5</v>
      </c>
      <c r="R137" s="2" t="str">
        <f aca="false">IF(Q137=Topics!M137,"ok","differs from Topics")</f>
        <v>ok</v>
      </c>
    </row>
    <row r="138" customFormat="false" ht="15" hidden="false" customHeight="false" outlineLevel="0" collapsed="false">
      <c r="A138" s="2" t="s">
        <v>962</v>
      </c>
      <c r="B138" s="2" t="s">
        <v>34</v>
      </c>
      <c r="C138" s="2" t="s">
        <v>963</v>
      </c>
      <c r="D138" s="11"/>
      <c r="E138" s="11"/>
      <c r="F138" s="11"/>
      <c r="G138" s="11"/>
      <c r="H138" s="11"/>
      <c r="I138" s="11"/>
      <c r="J138" s="11"/>
      <c r="K138" s="11"/>
      <c r="L138" s="11" t="n">
        <v>3</v>
      </c>
      <c r="M138" s="11"/>
      <c r="N138" s="11"/>
      <c r="O138" s="11"/>
      <c r="P138" s="11"/>
      <c r="Q138" s="2" t="n">
        <f aca="false">SUM(D138:P138)</f>
        <v>3</v>
      </c>
      <c r="R138" s="2" t="str">
        <f aca="false">IF(Q138=Topics!M138,"ok","differs from Topics")</f>
        <v>ok</v>
      </c>
    </row>
    <row r="139" customFormat="false" ht="15" hidden="false" customHeight="false" outlineLevel="0" collapsed="false">
      <c r="A139" s="2" t="s">
        <v>968</v>
      </c>
      <c r="B139" s="2" t="s">
        <v>34</v>
      </c>
      <c r="C139" s="2" t="s">
        <v>969</v>
      </c>
      <c r="D139" s="11"/>
      <c r="E139" s="11"/>
      <c r="F139" s="11"/>
      <c r="G139" s="11"/>
      <c r="H139" s="11"/>
      <c r="I139" s="11"/>
      <c r="J139" s="11"/>
      <c r="K139" s="11"/>
      <c r="L139" s="11" t="n">
        <v>9</v>
      </c>
      <c r="M139" s="11"/>
      <c r="N139" s="11"/>
      <c r="O139" s="11"/>
      <c r="P139" s="11"/>
      <c r="Q139" s="2" t="n">
        <f aca="false">SUM(D139:P139)</f>
        <v>9</v>
      </c>
      <c r="R139" s="2" t="str">
        <f aca="false">IF(Q139=Topics!M139,"ok","differs from Topics")</f>
        <v>ok</v>
      </c>
    </row>
    <row r="140" customFormat="false" ht="15" hidden="false" customHeight="false" outlineLevel="0" collapsed="false">
      <c r="A140" s="2" t="s">
        <v>973</v>
      </c>
      <c r="B140" s="2" t="s">
        <v>34</v>
      </c>
      <c r="C140" s="2" t="s">
        <v>974</v>
      </c>
      <c r="D140" s="11"/>
      <c r="E140" s="11"/>
      <c r="F140" s="11"/>
      <c r="G140" s="11"/>
      <c r="H140" s="11"/>
      <c r="I140" s="11"/>
      <c r="J140" s="11"/>
      <c r="K140" s="11"/>
      <c r="L140" s="11" t="n">
        <v>8</v>
      </c>
      <c r="M140" s="11"/>
      <c r="N140" s="11"/>
      <c r="O140" s="11"/>
      <c r="P140" s="11"/>
      <c r="Q140" s="2" t="n">
        <f aca="false">SUM(D140:P140)</f>
        <v>8</v>
      </c>
      <c r="R140" s="2" t="str">
        <f aca="false">IF(Q140=Topics!M140,"ok","differs from Topics")</f>
        <v>ok</v>
      </c>
    </row>
    <row r="141" customFormat="false" ht="15" hidden="false" customHeight="false" outlineLevel="0" collapsed="false">
      <c r="A141" s="2" t="s">
        <v>980</v>
      </c>
      <c r="B141" s="2" t="s">
        <v>34</v>
      </c>
      <c r="C141" s="2" t="s">
        <v>981</v>
      </c>
      <c r="D141" s="11"/>
      <c r="E141" s="11"/>
      <c r="F141" s="11"/>
      <c r="G141" s="11"/>
      <c r="H141" s="11"/>
      <c r="I141" s="11"/>
      <c r="J141" s="11"/>
      <c r="K141" s="11"/>
      <c r="L141" s="11" t="n">
        <v>6</v>
      </c>
      <c r="M141" s="11"/>
      <c r="N141" s="11"/>
      <c r="O141" s="11"/>
      <c r="P141" s="11"/>
      <c r="Q141" s="2" t="n">
        <f aca="false">SUM(D141:P141)</f>
        <v>6</v>
      </c>
      <c r="R141" s="2" t="str">
        <f aca="false">IF(Q141=Topics!M141,"ok","differs from Topics")</f>
        <v>ok</v>
      </c>
    </row>
    <row r="142" customFormat="false" ht="15" hidden="false" customHeight="false" outlineLevel="0" collapsed="false">
      <c r="A142" s="2" t="s">
        <v>986</v>
      </c>
      <c r="B142" s="2" t="s">
        <v>34</v>
      </c>
      <c r="C142" s="2" t="s">
        <v>987</v>
      </c>
      <c r="D142" s="11"/>
      <c r="E142" s="11"/>
      <c r="F142" s="11"/>
      <c r="G142" s="11"/>
      <c r="H142" s="11"/>
      <c r="I142" s="11"/>
      <c r="J142" s="11"/>
      <c r="K142" s="11"/>
      <c r="L142" s="11" t="n">
        <v>5</v>
      </c>
      <c r="M142" s="11"/>
      <c r="N142" s="11"/>
      <c r="O142" s="11"/>
      <c r="P142" s="11"/>
      <c r="Q142" s="2" t="n">
        <f aca="false">SUM(D142:P142)</f>
        <v>5</v>
      </c>
      <c r="R142" s="2" t="str">
        <f aca="false">IF(Q142=Topics!M142,"ok","differs from Topics")</f>
        <v>ok</v>
      </c>
    </row>
    <row r="143" customFormat="false" ht="15" hidden="false" customHeight="false" outlineLevel="0" collapsed="false">
      <c r="A143" s="2" t="s">
        <v>991</v>
      </c>
      <c r="B143" s="2" t="s">
        <v>34</v>
      </c>
      <c r="C143" s="2" t="s">
        <v>992</v>
      </c>
      <c r="D143" s="11"/>
      <c r="E143" s="11"/>
      <c r="F143" s="11"/>
      <c r="G143" s="11"/>
      <c r="H143" s="11"/>
      <c r="I143" s="11"/>
      <c r="J143" s="11"/>
      <c r="K143" s="11"/>
      <c r="L143" s="11" t="n">
        <v>3</v>
      </c>
      <c r="M143" s="11"/>
      <c r="N143" s="11"/>
      <c r="O143" s="11"/>
      <c r="P143" s="11"/>
      <c r="Q143" s="2" t="n">
        <f aca="false">SUM(D143:P143)</f>
        <v>3</v>
      </c>
      <c r="R143" s="2" t="str">
        <f aca="false">IF(Q143=Topics!M143,"ok","differs from Topics")</f>
        <v>ok</v>
      </c>
    </row>
    <row r="144" customFormat="false" ht="15" hidden="false" customHeight="false" outlineLevel="0" collapsed="false">
      <c r="A144" s="2" t="s">
        <v>997</v>
      </c>
      <c r="B144" s="2" t="s">
        <v>34</v>
      </c>
      <c r="C144" s="2" t="s">
        <v>998</v>
      </c>
      <c r="D144" s="11"/>
      <c r="E144" s="11"/>
      <c r="F144" s="11"/>
      <c r="G144" s="11"/>
      <c r="H144" s="11"/>
      <c r="I144" s="11"/>
      <c r="J144" s="11"/>
      <c r="K144" s="11"/>
      <c r="L144" s="11" t="n">
        <v>4</v>
      </c>
      <c r="M144" s="11"/>
      <c r="N144" s="11"/>
      <c r="O144" s="11"/>
      <c r="P144" s="11"/>
      <c r="Q144" s="2" t="n">
        <f aca="false">SUM(D144:P144)</f>
        <v>4</v>
      </c>
      <c r="R144" s="2" t="str">
        <f aca="false">IF(Q144=Topics!M144,"ok","differs from Topics")</f>
        <v>ok</v>
      </c>
    </row>
    <row r="145" customFormat="false" ht="15" hidden="false" customHeight="false" outlineLevel="0" collapsed="false">
      <c r="A145" s="2" t="s">
        <v>1003</v>
      </c>
      <c r="B145" s="2" t="s">
        <v>34</v>
      </c>
      <c r="C145" s="2" t="s">
        <v>1004</v>
      </c>
      <c r="D145" s="11"/>
      <c r="E145" s="11"/>
      <c r="F145" s="11"/>
      <c r="G145" s="11"/>
      <c r="H145" s="11"/>
      <c r="I145" s="11"/>
      <c r="J145" s="11"/>
      <c r="K145" s="11"/>
      <c r="L145" s="11" t="n">
        <v>10</v>
      </c>
      <c r="M145" s="11"/>
      <c r="N145" s="11"/>
      <c r="O145" s="11"/>
      <c r="P145" s="11"/>
      <c r="Q145" s="2" t="n">
        <f aca="false">SUM(D145:P145)</f>
        <v>10</v>
      </c>
      <c r="R145" s="2" t="str">
        <f aca="false">IF(Q145=Topics!M145,"ok","differs from Topics")</f>
        <v>ok</v>
      </c>
    </row>
    <row r="146" customFormat="false" ht="15" hidden="false" customHeight="false" outlineLevel="0" collapsed="false">
      <c r="A146" s="2" t="s">
        <v>1009</v>
      </c>
      <c r="B146" s="2" t="s">
        <v>34</v>
      </c>
      <c r="C146" s="2" t="s">
        <v>1010</v>
      </c>
      <c r="D146" s="11"/>
      <c r="E146" s="11"/>
      <c r="F146" s="11"/>
      <c r="G146" s="11"/>
      <c r="H146" s="11"/>
      <c r="I146" s="11"/>
      <c r="J146" s="11"/>
      <c r="K146" s="11"/>
      <c r="L146" s="11" t="n">
        <v>5</v>
      </c>
      <c r="M146" s="11"/>
      <c r="N146" s="11"/>
      <c r="O146" s="11"/>
      <c r="P146" s="11"/>
      <c r="Q146" s="2" t="n">
        <f aca="false">SUM(D146:P146)</f>
        <v>5</v>
      </c>
      <c r="R146" s="2" t="str">
        <f aca="false">IF(Q146=Topics!M146,"ok","differs from Topics")</f>
        <v>ok</v>
      </c>
    </row>
    <row r="147" customFormat="false" ht="15" hidden="false" customHeight="false" outlineLevel="0" collapsed="false">
      <c r="A147" s="2" t="s">
        <v>1015</v>
      </c>
      <c r="B147" s="2" t="s">
        <v>34</v>
      </c>
      <c r="C147" s="2" t="s">
        <v>1016</v>
      </c>
      <c r="D147" s="11"/>
      <c r="E147" s="11"/>
      <c r="F147" s="11"/>
      <c r="G147" s="11"/>
      <c r="H147" s="11"/>
      <c r="I147" s="11"/>
      <c r="J147" s="11"/>
      <c r="K147" s="11"/>
      <c r="L147" s="11" t="n">
        <v>8</v>
      </c>
      <c r="M147" s="11"/>
      <c r="N147" s="11"/>
      <c r="O147" s="11"/>
      <c r="P147" s="11"/>
      <c r="Q147" s="2" t="n">
        <f aca="false">SUM(D147:P147)</f>
        <v>8</v>
      </c>
      <c r="R147" s="2" t="str">
        <f aca="false">IF(Q147=Topics!M147,"ok","differs from Topics")</f>
        <v>ok</v>
      </c>
    </row>
    <row r="148" customFormat="false" ht="15" hidden="false" customHeight="false" outlineLevel="0" collapsed="false">
      <c r="A148" s="2" t="s">
        <v>1021</v>
      </c>
      <c r="B148" s="2" t="s">
        <v>34</v>
      </c>
      <c r="C148" s="2" t="s">
        <v>1022</v>
      </c>
      <c r="D148" s="11"/>
      <c r="E148" s="11"/>
      <c r="F148" s="11"/>
      <c r="G148" s="11"/>
      <c r="H148" s="11"/>
      <c r="I148" s="11"/>
      <c r="J148" s="11"/>
      <c r="K148" s="11"/>
      <c r="L148" s="11" t="n">
        <v>8</v>
      </c>
      <c r="M148" s="11"/>
      <c r="N148" s="11"/>
      <c r="O148" s="11"/>
      <c r="P148" s="11"/>
      <c r="Q148" s="2" t="n">
        <f aca="false">SUM(D148:P148)</f>
        <v>8</v>
      </c>
      <c r="R148" s="2" t="str">
        <f aca="false">IF(Q148=Topics!M148,"ok","differs from Topics")</f>
        <v>ok</v>
      </c>
    </row>
    <row r="149" customFormat="false" ht="23.85" hidden="false" customHeight="false" outlineLevel="0" collapsed="false">
      <c r="A149" s="2" t="s">
        <v>1026</v>
      </c>
      <c r="B149" s="2" t="s">
        <v>34</v>
      </c>
      <c r="C149" s="2" t="s">
        <v>1027</v>
      </c>
      <c r="D149" s="11"/>
      <c r="E149" s="11"/>
      <c r="F149" s="11"/>
      <c r="G149" s="11"/>
      <c r="H149" s="11"/>
      <c r="I149" s="11"/>
      <c r="J149" s="11" t="n">
        <v>4</v>
      </c>
      <c r="K149" s="11"/>
      <c r="L149" s="11" t="n">
        <v>2</v>
      </c>
      <c r="M149" s="11"/>
      <c r="N149" s="11"/>
      <c r="O149" s="11"/>
      <c r="P149" s="11"/>
      <c r="Q149" s="2" t="n">
        <f aca="false">SUM(D149:P149)</f>
        <v>6</v>
      </c>
      <c r="R149" s="2" t="str">
        <f aca="false">IF(Q149=Topics!M149,"ok","differs from Topics")</f>
        <v>ok</v>
      </c>
    </row>
    <row r="150" customFormat="false" ht="23.85" hidden="false" customHeight="false" outlineLevel="0" collapsed="false">
      <c r="A150" s="2" t="s">
        <v>1032</v>
      </c>
      <c r="B150" s="2" t="s">
        <v>34</v>
      </c>
      <c r="C150" s="2" t="s">
        <v>1033</v>
      </c>
      <c r="D150" s="11"/>
      <c r="E150" s="11"/>
      <c r="F150" s="11"/>
      <c r="G150" s="11"/>
      <c r="H150" s="11"/>
      <c r="I150" s="11"/>
      <c r="J150" s="11"/>
      <c r="K150" s="11"/>
      <c r="L150" s="11" t="n">
        <v>3</v>
      </c>
      <c r="M150" s="11"/>
      <c r="N150" s="11"/>
      <c r="O150" s="11"/>
      <c r="P150" s="11"/>
      <c r="Q150" s="2" t="n">
        <f aca="false">SUM(D150:P150)</f>
        <v>3</v>
      </c>
      <c r="R150" s="2" t="str">
        <f aca="false">IF(Q150=Topics!M150,"ok","differs from Topics")</f>
        <v>ok</v>
      </c>
    </row>
    <row r="151" customFormat="false" ht="15" hidden="false" customHeight="false" outlineLevel="0" collapsed="false">
      <c r="A151" s="2" t="s">
        <v>1037</v>
      </c>
      <c r="B151" s="2" t="s">
        <v>35</v>
      </c>
      <c r="C151" s="2" t="s">
        <v>1039</v>
      </c>
      <c r="D151" s="11"/>
      <c r="E151" s="11"/>
      <c r="F151" s="11"/>
      <c r="G151" s="11"/>
      <c r="H151" s="11"/>
      <c r="I151" s="11"/>
      <c r="J151" s="11"/>
      <c r="K151" s="11"/>
      <c r="L151" s="11"/>
      <c r="M151" s="11"/>
      <c r="N151" s="11"/>
      <c r="O151" s="11" t="n">
        <v>10</v>
      </c>
      <c r="P151" s="11" t="n">
        <v>6</v>
      </c>
      <c r="Q151" s="2" t="n">
        <f aca="false">SUM(D151:P151)</f>
        <v>16</v>
      </c>
      <c r="R151" s="2" t="str">
        <f aca="false">IF(Q151=Topics!M151,"ok","differs from Topics")</f>
        <v>ok</v>
      </c>
    </row>
    <row r="152" customFormat="false" ht="15" hidden="false" customHeight="false" outlineLevel="0" collapsed="false">
      <c r="A152" s="2" t="s">
        <v>1044</v>
      </c>
      <c r="B152" s="2" t="s">
        <v>35</v>
      </c>
      <c r="C152" s="2" t="s">
        <v>1045</v>
      </c>
      <c r="D152" s="11"/>
      <c r="E152" s="11"/>
      <c r="F152" s="11"/>
      <c r="G152" s="11"/>
      <c r="H152" s="11"/>
      <c r="I152" s="11"/>
      <c r="J152" s="11"/>
      <c r="K152" s="11"/>
      <c r="L152" s="11"/>
      <c r="M152" s="11"/>
      <c r="N152" s="11"/>
      <c r="O152" s="11" t="n">
        <v>15</v>
      </c>
      <c r="P152" s="11" t="n">
        <v>8</v>
      </c>
      <c r="Q152" s="2" t="n">
        <f aca="false">SUM(D152:P152)</f>
        <v>23</v>
      </c>
      <c r="R152" s="2" t="str">
        <f aca="false">IF(Q152=Topics!M152,"ok","differs from Topics")</f>
        <v>ok</v>
      </c>
    </row>
    <row r="153" customFormat="false" ht="15" hidden="false" customHeight="false" outlineLevel="0" collapsed="false">
      <c r="A153" s="2" t="s">
        <v>1051</v>
      </c>
      <c r="B153" s="2" t="s">
        <v>35</v>
      </c>
      <c r="C153" s="2" t="s">
        <v>1052</v>
      </c>
      <c r="D153" s="11"/>
      <c r="E153" s="11"/>
      <c r="F153" s="11"/>
      <c r="G153" s="11"/>
      <c r="H153" s="11"/>
      <c r="I153" s="11"/>
      <c r="J153" s="11"/>
      <c r="K153" s="11"/>
      <c r="L153" s="11"/>
      <c r="M153" s="11"/>
      <c r="N153" s="11"/>
      <c r="O153" s="11" t="n">
        <v>6</v>
      </c>
      <c r="P153" s="11" t="n">
        <v>3</v>
      </c>
      <c r="Q153" s="2" t="n">
        <f aca="false">SUM(D153:P153)</f>
        <v>9</v>
      </c>
      <c r="R153" s="2" t="str">
        <f aca="false">IF(Q153=Topics!M153,"ok","differs from Topics")</f>
        <v>ok</v>
      </c>
    </row>
    <row r="154" customFormat="false" ht="15" hidden="false" customHeight="false" outlineLevel="0" collapsed="false">
      <c r="A154" s="2" t="s">
        <v>1057</v>
      </c>
      <c r="B154" s="2" t="s">
        <v>35</v>
      </c>
      <c r="C154" s="2" t="s">
        <v>1058</v>
      </c>
      <c r="D154" s="11"/>
      <c r="E154" s="11"/>
      <c r="F154" s="11"/>
      <c r="G154" s="11"/>
      <c r="H154" s="11"/>
      <c r="I154" s="11"/>
      <c r="J154" s="11"/>
      <c r="K154" s="11"/>
      <c r="L154" s="11"/>
      <c r="M154" s="11"/>
      <c r="N154" s="11"/>
      <c r="O154" s="11" t="n">
        <v>8</v>
      </c>
      <c r="P154" s="11" t="n">
        <v>5</v>
      </c>
      <c r="Q154" s="2" t="n">
        <f aca="false">SUM(D154:P154)</f>
        <v>13</v>
      </c>
      <c r="R154" s="2" t="str">
        <f aca="false">IF(Q154=Topics!M154,"ok","differs from Topics")</f>
        <v>ok</v>
      </c>
    </row>
    <row r="155" customFormat="false" ht="15" hidden="false" customHeight="false" outlineLevel="0" collapsed="false">
      <c r="A155" s="2" t="s">
        <v>1064</v>
      </c>
      <c r="B155" s="2" t="s">
        <v>35</v>
      </c>
      <c r="C155" s="2" t="s">
        <v>1065</v>
      </c>
      <c r="D155" s="11"/>
      <c r="E155" s="11"/>
      <c r="F155" s="11"/>
      <c r="G155" s="11"/>
      <c r="H155" s="11"/>
      <c r="I155" s="11"/>
      <c r="J155" s="11"/>
      <c r="K155" s="11"/>
      <c r="L155" s="11"/>
      <c r="M155" s="11"/>
      <c r="N155" s="11"/>
      <c r="O155" s="11" t="n">
        <v>6</v>
      </c>
      <c r="P155" s="11" t="n">
        <v>3</v>
      </c>
      <c r="Q155" s="2" t="n">
        <f aca="false">SUM(D155:P155)</f>
        <v>9</v>
      </c>
      <c r="R155" s="2" t="str">
        <f aca="false">IF(Q155=Topics!M155,"ok","differs from Topics")</f>
        <v>ok</v>
      </c>
    </row>
    <row r="156" customFormat="false" ht="15" hidden="false" customHeight="false" outlineLevel="0" collapsed="false">
      <c r="A156" s="2" t="s">
        <v>1070</v>
      </c>
      <c r="B156" s="2" t="s">
        <v>35</v>
      </c>
      <c r="C156" s="2" t="s">
        <v>1071</v>
      </c>
      <c r="D156" s="11"/>
      <c r="E156" s="11"/>
      <c r="F156" s="11"/>
      <c r="G156" s="11"/>
      <c r="H156" s="11"/>
      <c r="I156" s="11"/>
      <c r="J156" s="11"/>
      <c r="K156" s="11"/>
      <c r="L156" s="11"/>
      <c r="M156" s="11"/>
      <c r="N156" s="11"/>
      <c r="O156" s="11" t="n">
        <v>15</v>
      </c>
      <c r="P156" s="11" t="n">
        <v>8</v>
      </c>
      <c r="Q156" s="2" t="n">
        <f aca="false">SUM(D156:P156)</f>
        <v>23</v>
      </c>
      <c r="R156" s="2" t="str">
        <f aca="false">IF(Q156=Topics!M156,"ok","differs from Topics")</f>
        <v>ok</v>
      </c>
    </row>
    <row r="157" customFormat="false" ht="15" hidden="false" customHeight="false" outlineLevel="0" collapsed="false">
      <c r="A157" s="2" t="s">
        <v>1077</v>
      </c>
      <c r="B157" s="2" t="s">
        <v>35</v>
      </c>
      <c r="C157" s="2" t="s">
        <v>1078</v>
      </c>
      <c r="D157" s="11"/>
      <c r="E157" s="11"/>
      <c r="F157" s="11"/>
      <c r="G157" s="11"/>
      <c r="H157" s="11"/>
      <c r="I157" s="11"/>
      <c r="J157" s="11"/>
      <c r="K157" s="11"/>
      <c r="L157" s="11"/>
      <c r="M157" s="11"/>
      <c r="N157" s="11"/>
      <c r="O157" s="11" t="n">
        <v>9</v>
      </c>
      <c r="P157" s="11" t="n">
        <v>6</v>
      </c>
      <c r="Q157" s="2" t="n">
        <f aca="false">SUM(D157:P157)</f>
        <v>15</v>
      </c>
      <c r="R157" s="2" t="str">
        <f aca="false">IF(Q157=Topics!M157,"ok","differs from Topics")</f>
        <v>ok</v>
      </c>
    </row>
    <row r="158" customFormat="false" ht="15" hidden="false" customHeight="false" outlineLevel="0" collapsed="false">
      <c r="A158" s="2" t="s">
        <v>1084</v>
      </c>
      <c r="B158" s="2" t="s">
        <v>35</v>
      </c>
      <c r="C158" s="2" t="s">
        <v>1085</v>
      </c>
      <c r="D158" s="11"/>
      <c r="E158" s="11"/>
      <c r="F158" s="11"/>
      <c r="G158" s="11"/>
      <c r="H158" s="11"/>
      <c r="I158" s="11"/>
      <c r="J158" s="11"/>
      <c r="K158" s="11"/>
      <c r="L158" s="11"/>
      <c r="M158" s="11"/>
      <c r="N158" s="11"/>
      <c r="O158" s="11" t="n">
        <v>5</v>
      </c>
      <c r="P158" s="11" t="n">
        <v>3</v>
      </c>
      <c r="Q158" s="2" t="n">
        <f aca="false">SUM(D158:P158)</f>
        <v>8</v>
      </c>
      <c r="R158" s="2" t="str">
        <f aca="false">IF(Q158=Topics!M158,"ok","differs from Topics")</f>
        <v>ok</v>
      </c>
    </row>
    <row r="159" customFormat="false" ht="15" hidden="false" customHeight="false" outlineLevel="0" collapsed="false">
      <c r="A159" s="2" t="s">
        <v>1091</v>
      </c>
      <c r="B159" s="2" t="s">
        <v>35</v>
      </c>
      <c r="C159" s="2" t="s">
        <v>1092</v>
      </c>
      <c r="D159" s="11"/>
      <c r="E159" s="11"/>
      <c r="F159" s="11"/>
      <c r="G159" s="11"/>
      <c r="H159" s="11"/>
      <c r="I159" s="11"/>
      <c r="J159" s="11"/>
      <c r="K159" s="11"/>
      <c r="L159" s="11"/>
      <c r="M159" s="11"/>
      <c r="N159" s="11"/>
      <c r="O159" s="11" t="n">
        <v>7</v>
      </c>
      <c r="P159" s="11" t="n">
        <v>5</v>
      </c>
      <c r="Q159" s="2" t="n">
        <f aca="false">SUM(D159:P159)</f>
        <v>12</v>
      </c>
      <c r="R159" s="2" t="str">
        <f aca="false">IF(Q159=Topics!M159,"ok","differs from Topics")</f>
        <v>ok</v>
      </c>
    </row>
    <row r="160" customFormat="false" ht="15" hidden="false" customHeight="false" outlineLevel="0" collapsed="false">
      <c r="A160" s="2" t="s">
        <v>1098</v>
      </c>
      <c r="B160" s="2" t="s">
        <v>35</v>
      </c>
      <c r="C160" s="2" t="s">
        <v>1099</v>
      </c>
      <c r="D160" s="11"/>
      <c r="E160" s="11"/>
      <c r="F160" s="11"/>
      <c r="G160" s="11"/>
      <c r="H160" s="11"/>
      <c r="I160" s="11"/>
      <c r="J160" s="11"/>
      <c r="K160" s="11"/>
      <c r="L160" s="11"/>
      <c r="M160" s="11"/>
      <c r="N160" s="11"/>
      <c r="O160" s="11" t="n">
        <v>8</v>
      </c>
      <c r="P160" s="11" t="n">
        <v>5</v>
      </c>
      <c r="Q160" s="2" t="n">
        <f aca="false">SUM(D160:P160)</f>
        <v>13</v>
      </c>
      <c r="R160" s="2" t="str">
        <f aca="false">IF(Q160=Topics!M160,"ok","differs from Topics")</f>
        <v>ok</v>
      </c>
    </row>
    <row r="161" customFormat="false" ht="23.85" hidden="false" customHeight="false" outlineLevel="0" collapsed="false">
      <c r="A161" s="2" t="s">
        <v>1105</v>
      </c>
      <c r="B161" s="2" t="s">
        <v>35</v>
      </c>
      <c r="C161" s="2" t="s">
        <v>1106</v>
      </c>
      <c r="D161" s="11"/>
      <c r="E161" s="11"/>
      <c r="F161" s="11"/>
      <c r="G161" s="11"/>
      <c r="H161" s="11"/>
      <c r="I161" s="11"/>
      <c r="J161" s="11"/>
      <c r="K161" s="11"/>
      <c r="L161" s="11"/>
      <c r="M161" s="11"/>
      <c r="N161" s="11"/>
      <c r="O161" s="11" t="n">
        <v>18</v>
      </c>
      <c r="P161" s="11" t="n">
        <v>9</v>
      </c>
      <c r="Q161" s="2" t="n">
        <f aca="false">SUM(D161:P161)</f>
        <v>27</v>
      </c>
      <c r="R161" s="2" t="str">
        <f aca="false">IF(Q161=Topics!M161,"ok","differs from Topics")</f>
        <v>ok</v>
      </c>
    </row>
    <row r="162" customFormat="false" ht="15" hidden="false" customHeight="false" outlineLevel="0" collapsed="false">
      <c r="A162" s="2" t="s">
        <v>1112</v>
      </c>
      <c r="B162" s="2" t="s">
        <v>35</v>
      </c>
      <c r="C162" s="2" t="s">
        <v>1113</v>
      </c>
      <c r="D162" s="11"/>
      <c r="E162" s="11"/>
      <c r="F162" s="11"/>
      <c r="G162" s="11"/>
      <c r="H162" s="11"/>
      <c r="I162" s="11"/>
      <c r="J162" s="11"/>
      <c r="K162" s="11"/>
      <c r="L162" s="11"/>
      <c r="M162" s="11"/>
      <c r="N162" s="11"/>
      <c r="O162" s="11" t="n">
        <v>10</v>
      </c>
      <c r="P162" s="11" t="n">
        <v>6</v>
      </c>
      <c r="Q162" s="2" t="n">
        <f aca="false">SUM(D162:P162)</f>
        <v>16</v>
      </c>
      <c r="R162" s="2" t="str">
        <f aca="false">IF(Q162=Topics!M162,"ok","differs from Topics")</f>
        <v>ok</v>
      </c>
    </row>
    <row r="163" customFormat="false" ht="15" hidden="false" customHeight="false" outlineLevel="0" collapsed="false">
      <c r="A163" s="2" t="s">
        <v>1118</v>
      </c>
      <c r="B163" s="2" t="s">
        <v>35</v>
      </c>
      <c r="C163" s="2" t="s">
        <v>1119</v>
      </c>
      <c r="D163" s="11"/>
      <c r="E163" s="11"/>
      <c r="F163" s="11"/>
      <c r="G163" s="11"/>
      <c r="H163" s="11"/>
      <c r="I163" s="11"/>
      <c r="J163" s="11"/>
      <c r="K163" s="11"/>
      <c r="L163" s="11"/>
      <c r="M163" s="11"/>
      <c r="N163" s="11"/>
      <c r="O163" s="11" t="n">
        <v>16</v>
      </c>
      <c r="P163" s="11" t="n">
        <v>8</v>
      </c>
      <c r="Q163" s="2" t="n">
        <f aca="false">SUM(D163:P163)</f>
        <v>24</v>
      </c>
      <c r="R163" s="2" t="str">
        <f aca="false">IF(Q163=Topics!M163,"ok","differs from Topics")</f>
        <v>ok</v>
      </c>
    </row>
    <row r="164" customFormat="false" ht="15" hidden="false" customHeight="false" outlineLevel="0" collapsed="false">
      <c r="A164" s="2" t="s">
        <v>1125</v>
      </c>
      <c r="B164" s="2" t="s">
        <v>35</v>
      </c>
      <c r="C164" s="2" t="s">
        <v>1126</v>
      </c>
      <c r="D164" s="11"/>
      <c r="E164" s="11"/>
      <c r="F164" s="11"/>
      <c r="G164" s="11"/>
      <c r="H164" s="11"/>
      <c r="I164" s="11"/>
      <c r="J164" s="11"/>
      <c r="K164" s="11"/>
      <c r="L164" s="11"/>
      <c r="M164" s="11"/>
      <c r="N164" s="11"/>
      <c r="O164" s="11" t="n">
        <v>5</v>
      </c>
      <c r="P164" s="11" t="n">
        <v>2</v>
      </c>
      <c r="Q164" s="2" t="n">
        <f aca="false">SUM(D164:P164)</f>
        <v>7</v>
      </c>
      <c r="R164" s="2" t="str">
        <f aca="false">IF(Q164=Topics!M164,"ok","differs from Topics")</f>
        <v>ok</v>
      </c>
    </row>
    <row r="165" customFormat="false" ht="15" hidden="false" customHeight="false" outlineLevel="0" collapsed="false">
      <c r="A165" s="2" t="s">
        <v>1130</v>
      </c>
      <c r="B165" s="2" t="s">
        <v>35</v>
      </c>
      <c r="C165" s="2" t="s">
        <v>1131</v>
      </c>
      <c r="D165" s="11"/>
      <c r="E165" s="11"/>
      <c r="F165" s="11"/>
      <c r="G165" s="11"/>
      <c r="H165" s="11"/>
      <c r="I165" s="11"/>
      <c r="J165" s="11"/>
      <c r="K165" s="11"/>
      <c r="L165" s="11"/>
      <c r="M165" s="11"/>
      <c r="N165" s="11"/>
      <c r="O165" s="11" t="n">
        <v>8</v>
      </c>
      <c r="P165" s="11" t="n">
        <v>4</v>
      </c>
      <c r="Q165" s="2" t="n">
        <f aca="false">SUM(D165:P165)</f>
        <v>12</v>
      </c>
      <c r="R165" s="2" t="str">
        <f aca="false">IF(Q165=Topics!M165,"ok","differs from Topics")</f>
        <v>ok</v>
      </c>
    </row>
    <row r="166" customFormat="false" ht="15" hidden="false" customHeight="false" outlineLevel="0" collapsed="false">
      <c r="A166" s="2" t="s">
        <v>1136</v>
      </c>
      <c r="B166" s="2" t="s">
        <v>35</v>
      </c>
      <c r="C166" s="2" t="s">
        <v>1137</v>
      </c>
      <c r="D166" s="11"/>
      <c r="E166" s="11"/>
      <c r="F166" s="11"/>
      <c r="G166" s="11"/>
      <c r="H166" s="11"/>
      <c r="I166" s="11"/>
      <c r="J166" s="11"/>
      <c r="K166" s="11"/>
      <c r="L166" s="11"/>
      <c r="M166" s="11"/>
      <c r="N166" s="11"/>
      <c r="O166" s="11" t="n">
        <v>2</v>
      </c>
      <c r="P166" s="11" t="n">
        <v>1</v>
      </c>
      <c r="Q166" s="2" t="n">
        <f aca="false">SUM(D166:P166)</f>
        <v>3</v>
      </c>
      <c r="R166" s="2" t="str">
        <f aca="false">IF(Q166=Topics!M166,"ok","differs from Topics")</f>
        <v>ok</v>
      </c>
    </row>
    <row r="167" customFormat="false" ht="15" hidden="false" customHeight="false" outlineLevel="0" collapsed="false">
      <c r="A167" s="2" t="s">
        <v>1142</v>
      </c>
      <c r="B167" s="2" t="s">
        <v>35</v>
      </c>
      <c r="C167" s="2" t="s">
        <v>1144</v>
      </c>
      <c r="D167" s="11"/>
      <c r="E167" s="11"/>
      <c r="F167" s="11"/>
      <c r="G167" s="11"/>
      <c r="H167" s="11"/>
      <c r="I167" s="11"/>
      <c r="J167" s="11"/>
      <c r="K167" s="11"/>
      <c r="L167" s="11"/>
      <c r="M167" s="11" t="n">
        <v>3</v>
      </c>
      <c r="N167" s="11"/>
      <c r="O167" s="11" t="n">
        <v>3</v>
      </c>
      <c r="P167" s="11" t="n">
        <v>1</v>
      </c>
      <c r="Q167" s="2" t="n">
        <f aca="false">SUM(D167:P167)</f>
        <v>7</v>
      </c>
      <c r="R167" s="2" t="str">
        <f aca="false">IF(Q167=Topics!M167,"ok","differs from Topics")</f>
        <v>ok</v>
      </c>
    </row>
    <row r="168" customFormat="false" ht="15" hidden="false" customHeight="false" outlineLevel="0" collapsed="false">
      <c r="A168" s="2" t="s">
        <v>1149</v>
      </c>
      <c r="B168" s="2" t="s">
        <v>35</v>
      </c>
      <c r="C168" s="2" t="s">
        <v>1150</v>
      </c>
      <c r="D168" s="11"/>
      <c r="E168" s="11"/>
      <c r="F168" s="11"/>
      <c r="G168" s="11"/>
      <c r="H168" s="11"/>
      <c r="I168" s="11"/>
      <c r="J168" s="11"/>
      <c r="K168" s="11"/>
      <c r="L168" s="11"/>
      <c r="M168" s="11" t="n">
        <v>2</v>
      </c>
      <c r="N168" s="11"/>
      <c r="O168" s="11" t="n">
        <v>4</v>
      </c>
      <c r="P168" s="11" t="n">
        <v>2</v>
      </c>
      <c r="Q168" s="2" t="n">
        <f aca="false">SUM(D168:P168)</f>
        <v>8</v>
      </c>
      <c r="R168" s="2" t="str">
        <f aca="false">IF(Q168=Topics!M168,"ok","differs from Topics")</f>
        <v>ok</v>
      </c>
    </row>
    <row r="169" customFormat="false" ht="15" hidden="false" customHeight="false" outlineLevel="0" collapsed="false">
      <c r="A169" s="2" t="s">
        <v>1155</v>
      </c>
      <c r="B169" s="2" t="s">
        <v>35</v>
      </c>
      <c r="C169" s="2" t="s">
        <v>1156</v>
      </c>
      <c r="D169" s="11"/>
      <c r="E169" s="11"/>
      <c r="F169" s="11"/>
      <c r="G169" s="11"/>
      <c r="H169" s="11"/>
      <c r="I169" s="11"/>
      <c r="J169" s="11"/>
      <c r="K169" s="11"/>
      <c r="L169" s="11"/>
      <c r="M169" s="11"/>
      <c r="N169" s="11"/>
      <c r="O169" s="11" t="n">
        <v>5</v>
      </c>
      <c r="P169" s="11" t="n">
        <v>2</v>
      </c>
      <c r="Q169" s="2" t="n">
        <f aca="false">SUM(D169:P169)</f>
        <v>7</v>
      </c>
      <c r="R169" s="2" t="str">
        <f aca="false">IF(Q169=Topics!M169,"ok","differs from Topics")</f>
        <v>ok</v>
      </c>
    </row>
    <row r="170" customFormat="false" ht="15" hidden="false" customHeight="false" outlineLevel="0" collapsed="false">
      <c r="A170" s="2" t="s">
        <v>1161</v>
      </c>
      <c r="B170" s="2" t="s">
        <v>35</v>
      </c>
      <c r="C170" s="2" t="s">
        <v>1162</v>
      </c>
      <c r="D170" s="11"/>
      <c r="E170" s="11"/>
      <c r="F170" s="11"/>
      <c r="G170" s="11"/>
      <c r="H170" s="11"/>
      <c r="I170" s="11"/>
      <c r="J170" s="11"/>
      <c r="K170" s="11"/>
      <c r="L170" s="11"/>
      <c r="M170" s="11" t="n">
        <v>4</v>
      </c>
      <c r="N170" s="11"/>
      <c r="O170" s="11" t="n">
        <v>3</v>
      </c>
      <c r="P170" s="11" t="n">
        <v>1</v>
      </c>
      <c r="Q170" s="2" t="n">
        <f aca="false">SUM(D170:P170)</f>
        <v>8</v>
      </c>
      <c r="R170" s="2" t="str">
        <f aca="false">IF(Q170=Topics!M170,"ok","differs from Topics")</f>
        <v>ok</v>
      </c>
    </row>
    <row r="171" customFormat="false" ht="15" hidden="false" customHeight="false" outlineLevel="0" collapsed="false">
      <c r="A171" s="2" t="s">
        <v>1168</v>
      </c>
      <c r="B171" s="2" t="s">
        <v>35</v>
      </c>
      <c r="C171" s="2" t="s">
        <v>1169</v>
      </c>
      <c r="D171" s="11"/>
      <c r="E171" s="11"/>
      <c r="F171" s="11"/>
      <c r="G171" s="11"/>
      <c r="H171" s="11"/>
      <c r="I171" s="11"/>
      <c r="J171" s="11"/>
      <c r="K171" s="11"/>
      <c r="L171" s="11"/>
      <c r="M171" s="11" t="n">
        <v>6</v>
      </c>
      <c r="N171" s="11"/>
      <c r="O171" s="11" t="n">
        <v>7</v>
      </c>
      <c r="P171" s="11" t="n">
        <v>3</v>
      </c>
      <c r="Q171" s="2" t="n">
        <f aca="false">SUM(D171:P171)</f>
        <v>16</v>
      </c>
      <c r="R171" s="2" t="str">
        <f aca="false">IF(Q171=Topics!M171,"ok","differs from Topics")</f>
        <v>ok</v>
      </c>
    </row>
    <row r="172" customFormat="false" ht="15" hidden="false" customHeight="false" outlineLevel="0" collapsed="false">
      <c r="A172" s="2" t="s">
        <v>1175</v>
      </c>
      <c r="B172" s="2" t="s">
        <v>35</v>
      </c>
      <c r="C172" s="2" t="s">
        <v>1177</v>
      </c>
      <c r="D172" s="11"/>
      <c r="E172" s="11"/>
      <c r="F172" s="11"/>
      <c r="G172" s="11"/>
      <c r="H172" s="11"/>
      <c r="I172" s="11"/>
      <c r="J172" s="11"/>
      <c r="K172" s="11"/>
      <c r="L172" s="11"/>
      <c r="M172" s="11" t="n">
        <v>3</v>
      </c>
      <c r="N172" s="11" t="n">
        <v>2</v>
      </c>
      <c r="O172" s="11" t="n">
        <v>2</v>
      </c>
      <c r="P172" s="11" t="n">
        <v>1</v>
      </c>
      <c r="Q172" s="2" t="n">
        <f aca="false">SUM(D172:P172)</f>
        <v>8</v>
      </c>
      <c r="R172" s="2" t="str">
        <f aca="false">IF(Q172=Topics!M172,"ok","differs from Topics")</f>
        <v>ok</v>
      </c>
    </row>
    <row r="173" customFormat="false" ht="15" hidden="false" customHeight="false" outlineLevel="0" collapsed="false">
      <c r="A173" s="2" t="s">
        <v>1183</v>
      </c>
      <c r="B173" s="2" t="s">
        <v>35</v>
      </c>
      <c r="C173" s="2" t="s">
        <v>1185</v>
      </c>
      <c r="D173" s="11"/>
      <c r="E173" s="11"/>
      <c r="F173" s="11"/>
      <c r="G173" s="11"/>
      <c r="H173" s="11"/>
      <c r="I173" s="11"/>
      <c r="J173" s="11"/>
      <c r="K173" s="11"/>
      <c r="L173" s="11"/>
      <c r="M173" s="11"/>
      <c r="N173" s="11" t="n">
        <v>6</v>
      </c>
      <c r="O173" s="11" t="n">
        <v>14</v>
      </c>
      <c r="P173" s="11" t="n">
        <v>7</v>
      </c>
      <c r="Q173" s="2" t="n">
        <f aca="false">SUM(D173:P173)</f>
        <v>27</v>
      </c>
      <c r="R173" s="2" t="str">
        <f aca="false">IF(Q173=Topics!M173,"ok","differs from Topics")</f>
        <v>ok</v>
      </c>
    </row>
    <row r="174" customFormat="false" ht="15" hidden="false" customHeight="false" outlineLevel="0" collapsed="false">
      <c r="A174" s="2" t="s">
        <v>1191</v>
      </c>
      <c r="B174" s="2" t="s">
        <v>35</v>
      </c>
      <c r="C174" s="2" t="s">
        <v>1192</v>
      </c>
      <c r="D174" s="11"/>
      <c r="E174" s="11"/>
      <c r="F174" s="11"/>
      <c r="G174" s="11"/>
      <c r="H174" s="11"/>
      <c r="I174" s="11"/>
      <c r="J174" s="11"/>
      <c r="K174" s="11"/>
      <c r="L174" s="11"/>
      <c r="M174" s="11"/>
      <c r="N174" s="11" t="n">
        <v>5</v>
      </c>
      <c r="O174" s="11" t="n">
        <v>2</v>
      </c>
      <c r="P174" s="11" t="n">
        <v>1</v>
      </c>
      <c r="Q174" s="2" t="n">
        <f aca="false">SUM(D174:P174)</f>
        <v>8</v>
      </c>
      <c r="R174" s="2" t="str">
        <f aca="false">IF(Q174=Topics!M174,"ok","differs from Topics")</f>
        <v>ok</v>
      </c>
    </row>
    <row r="175" customFormat="false" ht="15" hidden="false" customHeight="false" outlineLevel="0" collapsed="false">
      <c r="A175" s="2" t="s">
        <v>1198</v>
      </c>
      <c r="B175" s="2" t="s">
        <v>35</v>
      </c>
      <c r="C175" s="2" t="s">
        <v>1199</v>
      </c>
      <c r="D175" s="11"/>
      <c r="E175" s="11"/>
      <c r="F175" s="11"/>
      <c r="G175" s="11"/>
      <c r="H175" s="11"/>
      <c r="I175" s="11"/>
      <c r="J175" s="11"/>
      <c r="K175" s="11"/>
      <c r="L175" s="11"/>
      <c r="M175" s="11"/>
      <c r="N175" s="11" t="n">
        <v>5</v>
      </c>
      <c r="O175" s="11" t="n">
        <v>5</v>
      </c>
      <c r="P175" s="11" t="n">
        <v>2</v>
      </c>
      <c r="Q175" s="2" t="n">
        <f aca="false">SUM(D175:P175)</f>
        <v>12</v>
      </c>
      <c r="R175" s="2" t="str">
        <f aca="false">IF(Q175=Topics!M175,"ok","differs from Topics")</f>
        <v>ok</v>
      </c>
    </row>
    <row r="176" customFormat="false" ht="15" hidden="false" customHeight="false" outlineLevel="0" collapsed="false">
      <c r="A176" s="2" t="s">
        <v>1205</v>
      </c>
      <c r="B176" s="2" t="s">
        <v>35</v>
      </c>
      <c r="C176" s="2" t="s">
        <v>1206</v>
      </c>
      <c r="D176" s="11"/>
      <c r="E176" s="11"/>
      <c r="F176" s="11"/>
      <c r="G176" s="11"/>
      <c r="H176" s="11"/>
      <c r="I176" s="11"/>
      <c r="J176" s="11"/>
      <c r="K176" s="11"/>
      <c r="L176" s="11"/>
      <c r="M176" s="11"/>
      <c r="N176" s="11" t="n">
        <v>6</v>
      </c>
      <c r="O176" s="11" t="n">
        <v>3</v>
      </c>
      <c r="P176" s="11" t="n">
        <v>1</v>
      </c>
      <c r="Q176" s="2" t="n">
        <f aca="false">SUM(D176:P176)</f>
        <v>10</v>
      </c>
      <c r="R176" s="2" t="str">
        <f aca="false">IF(Q176=Topics!M176,"ok","differs from Topics")</f>
        <v>ok</v>
      </c>
    </row>
    <row r="177" customFormat="false" ht="15" hidden="false" customHeight="false" outlineLevel="0" collapsed="false">
      <c r="A177" s="2" t="s">
        <v>1212</v>
      </c>
      <c r="B177" s="2" t="s">
        <v>35</v>
      </c>
      <c r="C177" s="2" t="s">
        <v>1213</v>
      </c>
      <c r="D177" s="11"/>
      <c r="E177" s="11"/>
      <c r="F177" s="11"/>
      <c r="G177" s="11"/>
      <c r="H177" s="11"/>
      <c r="I177" s="11"/>
      <c r="J177" s="11"/>
      <c r="K177" s="11"/>
      <c r="L177" s="11"/>
      <c r="M177" s="11"/>
      <c r="N177" s="11" t="n">
        <v>3</v>
      </c>
      <c r="O177" s="11" t="n">
        <v>4</v>
      </c>
      <c r="P177" s="11" t="n">
        <v>1</v>
      </c>
      <c r="Q177" s="2" t="n">
        <f aca="false">SUM(D177:P177)</f>
        <v>8</v>
      </c>
      <c r="R177" s="2" t="str">
        <f aca="false">IF(Q177=Topics!M177,"ok","differs from Topics")</f>
        <v>ok</v>
      </c>
    </row>
    <row r="178" customFormat="false" ht="15" hidden="false" customHeight="false" outlineLevel="0" collapsed="false">
      <c r="A178" s="2" t="s">
        <v>1219</v>
      </c>
      <c r="B178" s="2" t="s">
        <v>35</v>
      </c>
      <c r="C178" s="2" t="s">
        <v>1220</v>
      </c>
      <c r="D178" s="11"/>
      <c r="E178" s="11"/>
      <c r="F178" s="11"/>
      <c r="G178" s="11"/>
      <c r="H178" s="11"/>
      <c r="I178" s="11"/>
      <c r="J178" s="11"/>
      <c r="K178" s="11"/>
      <c r="L178" s="11"/>
      <c r="M178" s="11"/>
      <c r="N178" s="11" t="n">
        <v>2</v>
      </c>
      <c r="O178" s="11" t="n">
        <v>4</v>
      </c>
      <c r="P178" s="11" t="n">
        <v>1</v>
      </c>
      <c r="Q178" s="2" t="n">
        <f aca="false">SUM(D178:P178)</f>
        <v>7</v>
      </c>
      <c r="R178" s="2" t="str">
        <f aca="false">IF(Q178=Topics!M178,"ok","differs from Topics")</f>
        <v>ok</v>
      </c>
    </row>
    <row r="179" customFormat="false" ht="15" hidden="false" customHeight="false" outlineLevel="0" collapsed="false">
      <c r="A179" s="2" t="s">
        <v>1226</v>
      </c>
      <c r="B179" s="2" t="s">
        <v>35</v>
      </c>
      <c r="C179" s="2" t="s">
        <v>1227</v>
      </c>
      <c r="D179" s="11"/>
      <c r="E179" s="11"/>
      <c r="F179" s="11"/>
      <c r="G179" s="11"/>
      <c r="H179" s="11"/>
      <c r="I179" s="11"/>
      <c r="J179" s="11"/>
      <c r="K179" s="11"/>
      <c r="L179" s="11"/>
      <c r="M179" s="11"/>
      <c r="N179" s="11" t="n">
        <v>3</v>
      </c>
      <c r="O179" s="11" t="n">
        <v>2</v>
      </c>
      <c r="P179" s="11" t="n">
        <v>1</v>
      </c>
      <c r="Q179" s="2" t="n">
        <f aca="false">SUM(D179:P179)</f>
        <v>6</v>
      </c>
      <c r="R179" s="2" t="str">
        <f aca="false">IF(Q179=Topics!M179,"ok","differs from Topics")</f>
        <v>ok</v>
      </c>
    </row>
    <row r="180" customFormat="false" ht="15" hidden="false" customHeight="false" outlineLevel="0" collapsed="false">
      <c r="A180" s="2" t="s">
        <v>1233</v>
      </c>
      <c r="B180" s="2" t="s">
        <v>35</v>
      </c>
      <c r="C180" s="2" t="s">
        <v>1234</v>
      </c>
      <c r="D180" s="11"/>
      <c r="E180" s="11"/>
      <c r="F180" s="11"/>
      <c r="G180" s="11"/>
      <c r="H180" s="11"/>
      <c r="I180" s="11"/>
      <c r="J180" s="11"/>
      <c r="K180" s="11"/>
      <c r="L180" s="11"/>
      <c r="M180" s="11"/>
      <c r="N180" s="11" t="n">
        <v>3</v>
      </c>
      <c r="O180" s="11" t="n">
        <v>2</v>
      </c>
      <c r="P180" s="11" t="n">
        <v>1</v>
      </c>
      <c r="Q180" s="2" t="n">
        <f aca="false">SUM(D180:P180)</f>
        <v>6</v>
      </c>
      <c r="R180" s="2" t="str">
        <f aca="false">IF(Q180=Topics!M180,"ok","differs from Topics")</f>
        <v>ok</v>
      </c>
    </row>
    <row r="181" customFormat="false" ht="15" hidden="false" customHeight="false" outlineLevel="0" collapsed="false">
      <c r="A181" s="2" t="s">
        <v>1240</v>
      </c>
      <c r="B181" s="2" t="s">
        <v>35</v>
      </c>
      <c r="C181" s="2" t="s">
        <v>1242</v>
      </c>
      <c r="D181" s="11"/>
      <c r="E181" s="11"/>
      <c r="F181" s="11"/>
      <c r="G181" s="11"/>
      <c r="H181" s="11"/>
      <c r="I181" s="11"/>
      <c r="J181" s="11"/>
      <c r="K181" s="11"/>
      <c r="L181" s="11"/>
      <c r="M181" s="11" t="n">
        <v>5</v>
      </c>
      <c r="N181" s="11"/>
      <c r="O181" s="11" t="n">
        <v>1</v>
      </c>
      <c r="P181" s="11"/>
      <c r="Q181" s="2" t="n">
        <f aca="false">SUM(D181:P181)</f>
        <v>6</v>
      </c>
      <c r="R181" s="2" t="str">
        <f aca="false">IF(Q181=Topics!M181,"ok","differs from Topics")</f>
        <v>ok</v>
      </c>
    </row>
    <row r="182" customFormat="false" ht="15" hidden="false" customHeight="false" outlineLevel="0" collapsed="false">
      <c r="A182" s="2" t="s">
        <v>1247</v>
      </c>
      <c r="B182" s="2" t="s">
        <v>35</v>
      </c>
      <c r="C182" s="2" t="s">
        <v>1249</v>
      </c>
      <c r="D182" s="11"/>
      <c r="E182" s="11"/>
      <c r="F182" s="11"/>
      <c r="G182" s="11"/>
      <c r="H182" s="11"/>
      <c r="I182" s="11"/>
      <c r="J182" s="11"/>
      <c r="K182" s="11"/>
      <c r="L182" s="11"/>
      <c r="M182" s="11" t="n">
        <v>6</v>
      </c>
      <c r="N182" s="11"/>
      <c r="O182" s="11"/>
      <c r="P182" s="11"/>
      <c r="Q182" s="2" t="n">
        <f aca="false">SUM(D182:P182)</f>
        <v>6</v>
      </c>
      <c r="R182" s="2" t="str">
        <f aca="false">IF(Q182=Topics!M182,"ok","differs from Topics")</f>
        <v>ok</v>
      </c>
    </row>
    <row r="183" customFormat="false" ht="15" hidden="false" customHeight="false" outlineLevel="0" collapsed="false">
      <c r="A183" s="2" t="s">
        <v>1254</v>
      </c>
      <c r="B183" s="2" t="s">
        <v>35</v>
      </c>
      <c r="C183" s="2" t="s">
        <v>1255</v>
      </c>
      <c r="D183" s="11"/>
      <c r="E183" s="11"/>
      <c r="F183" s="11"/>
      <c r="G183" s="11"/>
      <c r="H183" s="11"/>
      <c r="I183" s="11"/>
      <c r="J183" s="11"/>
      <c r="K183" s="11"/>
      <c r="L183" s="11"/>
      <c r="M183" s="11" t="n">
        <v>7</v>
      </c>
      <c r="N183" s="11"/>
      <c r="O183" s="11"/>
      <c r="P183" s="11"/>
      <c r="Q183" s="2" t="n">
        <f aca="false">SUM(D183:P183)</f>
        <v>7</v>
      </c>
      <c r="R183" s="2" t="str">
        <f aca="false">IF(Q183=Topics!M183,"ok","differs from Topics")</f>
        <v>ok</v>
      </c>
    </row>
    <row r="184" customFormat="false" ht="15" hidden="false" customHeight="false" outlineLevel="0" collapsed="false">
      <c r="A184" s="2" t="s">
        <v>1260</v>
      </c>
      <c r="B184" s="2" t="s">
        <v>35</v>
      </c>
      <c r="C184" s="2" t="s">
        <v>1261</v>
      </c>
      <c r="D184" s="11"/>
      <c r="E184" s="11"/>
      <c r="F184" s="11"/>
      <c r="G184" s="11"/>
      <c r="H184" s="11"/>
      <c r="I184" s="11"/>
      <c r="J184" s="11"/>
      <c r="K184" s="11"/>
      <c r="L184" s="11"/>
      <c r="M184" s="11" t="n">
        <v>5</v>
      </c>
      <c r="N184" s="11"/>
      <c r="O184" s="11"/>
      <c r="P184" s="11"/>
      <c r="Q184" s="2" t="n">
        <f aca="false">SUM(D184:P184)</f>
        <v>5</v>
      </c>
      <c r="R184" s="2" t="str">
        <f aca="false">IF(Q184=Topics!M184,"ok","differs from Topics")</f>
        <v>ok</v>
      </c>
    </row>
    <row r="185" customFormat="false" ht="15" hidden="false" customHeight="false" outlineLevel="0" collapsed="false">
      <c r="A185" s="2" t="s">
        <v>1266</v>
      </c>
      <c r="B185" s="2" t="s">
        <v>35</v>
      </c>
      <c r="C185" s="2" t="s">
        <v>1267</v>
      </c>
      <c r="D185" s="11"/>
      <c r="E185" s="11"/>
      <c r="F185" s="11"/>
      <c r="G185" s="11"/>
      <c r="H185" s="11"/>
      <c r="I185" s="11"/>
      <c r="J185" s="11"/>
      <c r="K185" s="11"/>
      <c r="L185" s="11"/>
      <c r="M185" s="11" t="n">
        <v>7</v>
      </c>
      <c r="N185" s="11"/>
      <c r="O185" s="11"/>
      <c r="P185" s="11"/>
      <c r="Q185" s="2" t="n">
        <f aca="false">SUM(D185:P185)</f>
        <v>7</v>
      </c>
      <c r="R185" s="2" t="str">
        <f aca="false">IF(Q185=Topics!M185,"ok","differs from Topics")</f>
        <v>ok</v>
      </c>
    </row>
    <row r="186" customFormat="false" ht="15" hidden="false" customHeight="false" outlineLevel="0" collapsed="false">
      <c r="A186" s="2" t="s">
        <v>1272</v>
      </c>
      <c r="B186" s="2" t="s">
        <v>35</v>
      </c>
      <c r="C186" s="2" t="s">
        <v>1273</v>
      </c>
      <c r="D186" s="11"/>
      <c r="E186" s="11"/>
      <c r="F186" s="11"/>
      <c r="G186" s="11"/>
      <c r="H186" s="11"/>
      <c r="I186" s="11"/>
      <c r="J186" s="11"/>
      <c r="K186" s="11"/>
      <c r="L186" s="11"/>
      <c r="M186" s="11" t="n">
        <v>6</v>
      </c>
      <c r="N186" s="11"/>
      <c r="O186" s="11" t="n">
        <v>1</v>
      </c>
      <c r="P186" s="11"/>
      <c r="Q186" s="2" t="n">
        <f aca="false">SUM(D186:P186)</f>
        <v>7</v>
      </c>
      <c r="R186" s="2" t="str">
        <f aca="false">IF(Q186=Topics!M186,"ok","differs from Topics")</f>
        <v>ok</v>
      </c>
    </row>
    <row r="187" customFormat="false" ht="15" hidden="false" customHeight="false" outlineLevel="0" collapsed="false">
      <c r="A187" s="2" t="s">
        <v>1278</v>
      </c>
      <c r="B187" s="2" t="s">
        <v>35</v>
      </c>
      <c r="C187" s="2" t="s">
        <v>1279</v>
      </c>
      <c r="D187" s="11"/>
      <c r="E187" s="11"/>
      <c r="F187" s="11"/>
      <c r="G187" s="11"/>
      <c r="H187" s="11"/>
      <c r="I187" s="11"/>
      <c r="J187" s="11"/>
      <c r="K187" s="11"/>
      <c r="L187" s="11"/>
      <c r="M187" s="11" t="n">
        <v>6</v>
      </c>
      <c r="N187" s="11"/>
      <c r="O187" s="11"/>
      <c r="P187" s="11"/>
      <c r="Q187" s="2" t="n">
        <f aca="false">SUM(D187:P187)</f>
        <v>6</v>
      </c>
      <c r="R187" s="2" t="str">
        <f aca="false">IF(Q187=Topics!M187,"ok","differs from Topics")</f>
        <v>ok</v>
      </c>
    </row>
    <row r="188" customFormat="false" ht="15" hidden="false" customHeight="false" outlineLevel="0" collapsed="false">
      <c r="A188" s="2" t="s">
        <v>1284</v>
      </c>
      <c r="B188" s="2" t="s">
        <v>35</v>
      </c>
      <c r="C188" s="2" t="s">
        <v>1285</v>
      </c>
      <c r="D188" s="11"/>
      <c r="E188" s="11"/>
      <c r="F188" s="11"/>
      <c r="G188" s="11"/>
      <c r="H188" s="11"/>
      <c r="I188" s="11"/>
      <c r="J188" s="11"/>
      <c r="K188" s="11"/>
      <c r="L188" s="11"/>
      <c r="M188" s="11" t="n">
        <v>6</v>
      </c>
      <c r="N188" s="11"/>
      <c r="O188" s="11"/>
      <c r="P188" s="11"/>
      <c r="Q188" s="2" t="n">
        <f aca="false">SUM(D188:P188)</f>
        <v>6</v>
      </c>
      <c r="R188" s="2" t="str">
        <f aca="false">IF(Q188=Topics!M188,"ok","differs from Topics")</f>
        <v>ok</v>
      </c>
    </row>
    <row r="189" customFormat="false" ht="15" hidden="false" customHeight="false" outlineLevel="0" collapsed="false">
      <c r="A189" s="2" t="s">
        <v>1290</v>
      </c>
      <c r="B189" s="2" t="s">
        <v>35</v>
      </c>
      <c r="C189" s="2" t="s">
        <v>1292</v>
      </c>
      <c r="D189" s="11"/>
      <c r="E189" s="11"/>
      <c r="F189" s="11"/>
      <c r="G189" s="11"/>
      <c r="H189" s="11"/>
      <c r="I189" s="11"/>
      <c r="J189" s="11"/>
      <c r="K189" s="11"/>
      <c r="L189" s="11"/>
      <c r="M189" s="11" t="n">
        <v>3</v>
      </c>
      <c r="N189" s="11" t="n">
        <v>4</v>
      </c>
      <c r="O189" s="11"/>
      <c r="P189" s="11"/>
      <c r="Q189" s="2" t="n">
        <f aca="false">SUM(D189:P189)</f>
        <v>7</v>
      </c>
      <c r="R189" s="2" t="str">
        <f aca="false">IF(Q189=Topics!M189,"ok","differs from Topics")</f>
        <v>ok</v>
      </c>
    </row>
    <row r="190" customFormat="false" ht="15" hidden="false" customHeight="false" outlineLevel="0" collapsed="false">
      <c r="A190" s="2" t="s">
        <v>1297</v>
      </c>
      <c r="B190" s="2" t="s">
        <v>35</v>
      </c>
      <c r="C190" s="2" t="s">
        <v>1298</v>
      </c>
      <c r="D190" s="11"/>
      <c r="E190" s="11"/>
      <c r="F190" s="11"/>
      <c r="G190" s="11"/>
      <c r="H190" s="11"/>
      <c r="I190" s="11"/>
      <c r="J190" s="11"/>
      <c r="K190" s="11"/>
      <c r="L190" s="11"/>
      <c r="M190" s="11" t="n">
        <v>9</v>
      </c>
      <c r="N190" s="11"/>
      <c r="O190" s="11"/>
      <c r="P190" s="11"/>
      <c r="Q190" s="2" t="n">
        <f aca="false">SUM(D190:P190)</f>
        <v>9</v>
      </c>
      <c r="R190" s="2" t="str">
        <f aca="false">IF(Q190=Topics!M190,"ok","differs from Topics")</f>
        <v>ok</v>
      </c>
    </row>
    <row r="191" customFormat="false" ht="15" hidden="false" customHeight="false" outlineLevel="0" collapsed="false">
      <c r="A191" s="2" t="s">
        <v>1303</v>
      </c>
      <c r="B191" s="2" t="s">
        <v>35</v>
      </c>
      <c r="C191" s="2" t="s">
        <v>1304</v>
      </c>
      <c r="D191" s="11"/>
      <c r="E191" s="11"/>
      <c r="F191" s="11"/>
      <c r="G191" s="11"/>
      <c r="H191" s="11"/>
      <c r="I191" s="11"/>
      <c r="J191" s="11"/>
      <c r="K191" s="11"/>
      <c r="L191" s="11"/>
      <c r="M191" s="11" t="n">
        <v>6</v>
      </c>
      <c r="N191" s="11"/>
      <c r="O191" s="11"/>
      <c r="P191" s="11"/>
      <c r="Q191" s="2" t="n">
        <f aca="false">SUM(D191:P191)</f>
        <v>6</v>
      </c>
      <c r="R191" s="2" t="str">
        <f aca="false">IF(Q191=Topics!M191,"ok","differs from Topics")</f>
        <v>ok</v>
      </c>
    </row>
    <row r="192" customFormat="false" ht="15" hidden="false" customHeight="false" outlineLevel="0" collapsed="false">
      <c r="A192" s="2" t="s">
        <v>1309</v>
      </c>
      <c r="B192" s="2" t="s">
        <v>35</v>
      </c>
      <c r="C192" s="2" t="s">
        <v>1310</v>
      </c>
      <c r="D192" s="11"/>
      <c r="E192" s="11"/>
      <c r="F192" s="11"/>
      <c r="G192" s="11"/>
      <c r="H192" s="11"/>
      <c r="I192" s="11"/>
      <c r="J192" s="11"/>
      <c r="K192" s="11"/>
      <c r="L192" s="11"/>
      <c r="M192" s="11" t="n">
        <v>3</v>
      </c>
      <c r="N192" s="11"/>
      <c r="O192" s="11" t="n">
        <v>3</v>
      </c>
      <c r="P192" s="11"/>
      <c r="Q192" s="2" t="n">
        <f aca="false">SUM(D192:P192)</f>
        <v>6</v>
      </c>
      <c r="R192" s="2" t="str">
        <f aca="false">IF(Q192=Topics!M192,"ok","differs from Topics")</f>
        <v>ok</v>
      </c>
    </row>
    <row r="193" customFormat="false" ht="15" hidden="false" customHeight="false" outlineLevel="0" collapsed="false">
      <c r="A193" s="2" t="s">
        <v>1315</v>
      </c>
      <c r="B193" s="2" t="s">
        <v>35</v>
      </c>
      <c r="C193" s="2" t="s">
        <v>1317</v>
      </c>
      <c r="D193" s="11"/>
      <c r="E193" s="11"/>
      <c r="F193" s="11"/>
      <c r="G193" s="11"/>
      <c r="H193" s="11"/>
      <c r="I193" s="11"/>
      <c r="J193" s="11"/>
      <c r="K193" s="11"/>
      <c r="L193" s="11"/>
      <c r="M193" s="11"/>
      <c r="N193" s="11" t="n">
        <v>5</v>
      </c>
      <c r="O193" s="11" t="n">
        <v>3</v>
      </c>
      <c r="P193" s="11"/>
      <c r="Q193" s="2" t="n">
        <f aca="false">SUM(D193:P193)</f>
        <v>8</v>
      </c>
      <c r="R193" s="2" t="str">
        <f aca="false">IF(Q193=Topics!M193,"ok","differs from Topics")</f>
        <v>ok</v>
      </c>
    </row>
    <row r="194" customFormat="false" ht="15" hidden="false" customHeight="false" outlineLevel="0" collapsed="false">
      <c r="A194" s="2" t="s">
        <v>1322</v>
      </c>
      <c r="B194" s="2" t="s">
        <v>35</v>
      </c>
      <c r="C194" s="2" t="s">
        <v>1324</v>
      </c>
      <c r="D194" s="11"/>
      <c r="E194" s="11"/>
      <c r="F194" s="11"/>
      <c r="G194" s="11"/>
      <c r="H194" s="11"/>
      <c r="I194" s="11"/>
      <c r="J194" s="11"/>
      <c r="K194" s="11"/>
      <c r="L194" s="11"/>
      <c r="M194" s="11" t="n">
        <v>2</v>
      </c>
      <c r="N194" s="11"/>
      <c r="O194" s="11"/>
      <c r="P194" s="11" t="n">
        <v>1</v>
      </c>
      <c r="Q194" s="2" t="n">
        <f aca="false">SUM(D194:P194)</f>
        <v>3</v>
      </c>
      <c r="R194" s="2" t="str">
        <f aca="false">IF(Q194=Topics!M194,"ok","differs from Topics")</f>
        <v>ok</v>
      </c>
    </row>
    <row r="195" customFormat="false" ht="15" hidden="false" customHeight="false" outlineLevel="0" collapsed="false">
      <c r="A195" s="2" t="s">
        <v>1329</v>
      </c>
      <c r="B195" s="2" t="s">
        <v>35</v>
      </c>
      <c r="C195" s="2" t="s">
        <v>1331</v>
      </c>
      <c r="D195" s="11"/>
      <c r="E195" s="11"/>
      <c r="F195" s="11"/>
      <c r="G195" s="11"/>
      <c r="H195" s="11"/>
      <c r="I195" s="11"/>
      <c r="J195" s="11"/>
      <c r="K195" s="11"/>
      <c r="L195" s="11"/>
      <c r="M195" s="11"/>
      <c r="N195" s="11" t="n">
        <v>4</v>
      </c>
      <c r="O195" s="11"/>
      <c r="P195" s="11"/>
      <c r="Q195" s="2" t="n">
        <f aca="false">SUM(D195:P195)</f>
        <v>4</v>
      </c>
      <c r="R195" s="2" t="str">
        <f aca="false">IF(Q195=Topics!M195,"ok","differs from Topics")</f>
        <v>ok</v>
      </c>
    </row>
    <row r="196" customFormat="false" ht="15" hidden="false" customHeight="false" outlineLevel="0" collapsed="false">
      <c r="A196" s="2" t="s">
        <v>1336</v>
      </c>
      <c r="B196" s="2" t="s">
        <v>35</v>
      </c>
      <c r="C196" s="2" t="s">
        <v>1337</v>
      </c>
      <c r="D196" s="11"/>
      <c r="E196" s="11"/>
      <c r="F196" s="11"/>
      <c r="G196" s="11"/>
      <c r="H196" s="11"/>
      <c r="I196" s="11"/>
      <c r="J196" s="11"/>
      <c r="K196" s="11"/>
      <c r="L196" s="11"/>
      <c r="M196" s="11"/>
      <c r="N196" s="11" t="n">
        <v>4</v>
      </c>
      <c r="O196" s="11" t="n">
        <v>4</v>
      </c>
      <c r="P196" s="11"/>
      <c r="Q196" s="2" t="n">
        <f aca="false">SUM(D196:P196)</f>
        <v>8</v>
      </c>
      <c r="R196" s="2" t="str">
        <f aca="false">IF(Q196=Topics!M196,"ok","differs from Topics")</f>
        <v>ok</v>
      </c>
    </row>
    <row r="197" customFormat="false" ht="15" hidden="false" customHeight="false" outlineLevel="0" collapsed="false">
      <c r="A197" s="2" t="s">
        <v>1342</v>
      </c>
      <c r="B197" s="2" t="s">
        <v>35</v>
      </c>
      <c r="C197" s="2" t="s">
        <v>1343</v>
      </c>
      <c r="D197" s="11"/>
      <c r="E197" s="11"/>
      <c r="F197" s="11"/>
      <c r="G197" s="11"/>
      <c r="H197" s="11"/>
      <c r="I197" s="11"/>
      <c r="J197" s="11"/>
      <c r="K197" s="11"/>
      <c r="L197" s="11"/>
      <c r="M197" s="11"/>
      <c r="N197" s="11" t="n">
        <v>5</v>
      </c>
      <c r="O197" s="11"/>
      <c r="P197" s="11"/>
      <c r="Q197" s="2" t="n">
        <f aca="false">SUM(D197:P197)</f>
        <v>5</v>
      </c>
      <c r="R197" s="2" t="str">
        <f aca="false">IF(Q197=Topics!M197,"ok","differs from Topics")</f>
        <v>ok</v>
      </c>
    </row>
    <row r="198" customFormat="false" ht="15" hidden="false" customHeight="false" outlineLevel="0" collapsed="false">
      <c r="A198" s="2" t="s">
        <v>1348</v>
      </c>
      <c r="B198" s="2" t="s">
        <v>35</v>
      </c>
      <c r="C198" s="2" t="s">
        <v>1349</v>
      </c>
      <c r="D198" s="11"/>
      <c r="E198" s="11"/>
      <c r="F198" s="11"/>
      <c r="G198" s="11"/>
      <c r="H198" s="11"/>
      <c r="I198" s="11"/>
      <c r="J198" s="11"/>
      <c r="K198" s="11"/>
      <c r="L198" s="11"/>
      <c r="M198" s="11"/>
      <c r="N198" s="11" t="n">
        <v>5</v>
      </c>
      <c r="O198" s="11"/>
      <c r="P198" s="11"/>
      <c r="Q198" s="2" t="n">
        <f aca="false">SUM(D198:P198)</f>
        <v>5</v>
      </c>
      <c r="R198" s="2" t="str">
        <f aca="false">IF(Q198=Topics!M198,"ok","differs from Topics")</f>
        <v>ok</v>
      </c>
    </row>
    <row r="199" customFormat="false" ht="15" hidden="false" customHeight="false" outlineLevel="0" collapsed="false">
      <c r="A199" s="2" t="s">
        <v>1354</v>
      </c>
      <c r="B199" s="2" t="s">
        <v>35</v>
      </c>
      <c r="C199" s="2" t="s">
        <v>1355</v>
      </c>
      <c r="D199" s="11"/>
      <c r="E199" s="11"/>
      <c r="F199" s="11"/>
      <c r="G199" s="11"/>
      <c r="H199" s="11"/>
      <c r="I199" s="11"/>
      <c r="J199" s="11"/>
      <c r="K199" s="11"/>
      <c r="L199" s="11"/>
      <c r="M199" s="11"/>
      <c r="N199" s="11" t="n">
        <v>7</v>
      </c>
      <c r="O199" s="11" t="n">
        <v>1</v>
      </c>
      <c r="P199" s="11"/>
      <c r="Q199" s="2" t="n">
        <f aca="false">SUM(D199:P199)</f>
        <v>8</v>
      </c>
      <c r="R199" s="2" t="str">
        <f aca="false">IF(Q199=Topics!M199,"ok","differs from Topics")</f>
        <v>ok</v>
      </c>
    </row>
    <row r="200" customFormat="false" ht="15" hidden="false" customHeight="false" outlineLevel="0" collapsed="false">
      <c r="A200" s="2" t="s">
        <v>1360</v>
      </c>
      <c r="B200" s="2" t="s">
        <v>35</v>
      </c>
      <c r="C200" s="2" t="s">
        <v>1361</v>
      </c>
      <c r="D200" s="11"/>
      <c r="E200" s="11"/>
      <c r="F200" s="11"/>
      <c r="G200" s="11"/>
      <c r="H200" s="11"/>
      <c r="I200" s="11"/>
      <c r="J200" s="11"/>
      <c r="K200" s="11"/>
      <c r="L200" s="11"/>
      <c r="M200" s="11"/>
      <c r="N200" s="11" t="n">
        <v>6</v>
      </c>
      <c r="O200" s="11" t="n">
        <v>2</v>
      </c>
      <c r="P200" s="11"/>
      <c r="Q200" s="2" t="n">
        <f aca="false">SUM(D200:P200)</f>
        <v>8</v>
      </c>
      <c r="R200" s="2" t="str">
        <f aca="false">IF(Q200=Topics!M200,"ok","differs from Topics")</f>
        <v>ok</v>
      </c>
    </row>
    <row r="201" customFormat="false" ht="15" hidden="false" customHeight="false" outlineLevel="0" collapsed="false">
      <c r="A201" s="2" t="s">
        <v>1366</v>
      </c>
      <c r="B201" s="2" t="s">
        <v>35</v>
      </c>
      <c r="C201" s="2" t="s">
        <v>1367</v>
      </c>
      <c r="D201" s="11"/>
      <c r="E201" s="11"/>
      <c r="F201" s="11"/>
      <c r="G201" s="11"/>
      <c r="H201" s="11"/>
      <c r="I201" s="11"/>
      <c r="J201" s="11"/>
      <c r="K201" s="11"/>
      <c r="L201" s="11"/>
      <c r="M201" s="11"/>
      <c r="N201" s="11" t="n">
        <v>5</v>
      </c>
      <c r="O201" s="11" t="n">
        <v>2</v>
      </c>
      <c r="P201" s="11" t="n">
        <v>1</v>
      </c>
      <c r="Q201" s="2" t="n">
        <f aca="false">SUM(D201:P201)</f>
        <v>8</v>
      </c>
      <c r="R201" s="2" t="str">
        <f aca="false">IF(Q201=Topics!M201,"ok","differs from Topics")</f>
        <v>ok</v>
      </c>
    </row>
    <row r="202" customFormat="false" ht="15" hidden="false" customHeight="false" outlineLevel="0" collapsed="false">
      <c r="A202" s="2" t="s">
        <v>1372</v>
      </c>
      <c r="B202" s="2" t="s">
        <v>35</v>
      </c>
      <c r="C202" s="2" t="s">
        <v>1373</v>
      </c>
      <c r="D202" s="11"/>
      <c r="E202" s="11"/>
      <c r="F202" s="11"/>
      <c r="G202" s="11"/>
      <c r="H202" s="11"/>
      <c r="I202" s="11"/>
      <c r="J202" s="11"/>
      <c r="K202" s="11"/>
      <c r="L202" s="11"/>
      <c r="M202" s="11"/>
      <c r="N202" s="11" t="n">
        <v>6</v>
      </c>
      <c r="O202" s="11"/>
      <c r="P202" s="11"/>
      <c r="Q202" s="2" t="n">
        <f aca="false">SUM(D202:P202)</f>
        <v>6</v>
      </c>
      <c r="R202" s="2" t="str">
        <f aca="false">IF(Q202=Topics!M202,"ok","differs from Topics")</f>
        <v>ok</v>
      </c>
    </row>
    <row r="203" customFormat="false" ht="15" hidden="false" customHeight="false" outlineLevel="0" collapsed="false">
      <c r="A203" s="2" t="s">
        <v>1378</v>
      </c>
      <c r="B203" s="2" t="s">
        <v>35</v>
      </c>
      <c r="C203" s="2" t="s">
        <v>1379</v>
      </c>
      <c r="D203" s="11"/>
      <c r="E203" s="11"/>
      <c r="F203" s="11"/>
      <c r="G203" s="11"/>
      <c r="H203" s="11"/>
      <c r="I203" s="11"/>
      <c r="J203" s="11"/>
      <c r="K203" s="11"/>
      <c r="L203" s="11"/>
      <c r="M203" s="11"/>
      <c r="N203" s="11" t="n">
        <v>6</v>
      </c>
      <c r="O203" s="11"/>
      <c r="P203" s="11"/>
      <c r="Q203" s="2" t="n">
        <f aca="false">SUM(D203:P203)</f>
        <v>6</v>
      </c>
      <c r="R203" s="2" t="str">
        <f aca="false">IF(Q203=Topics!M203,"ok","differs from Topics")</f>
        <v>ok</v>
      </c>
    </row>
    <row r="204" customFormat="false" ht="23.85" hidden="false" customHeight="false" outlineLevel="0" collapsed="false">
      <c r="A204" s="2" t="s">
        <v>1383</v>
      </c>
      <c r="B204" s="2" t="s">
        <v>35</v>
      </c>
      <c r="C204" s="2" t="s">
        <v>1384</v>
      </c>
      <c r="D204" s="11"/>
      <c r="E204" s="11"/>
      <c r="F204" s="11"/>
      <c r="G204" s="11"/>
      <c r="H204" s="11"/>
      <c r="I204" s="11"/>
      <c r="J204" s="11"/>
      <c r="K204" s="11"/>
      <c r="L204" s="11"/>
      <c r="M204" s="11"/>
      <c r="N204" s="11" t="n">
        <v>6</v>
      </c>
      <c r="O204" s="11"/>
      <c r="P204" s="11"/>
      <c r="Q204" s="2" t="n">
        <f aca="false">SUM(D204:P204)</f>
        <v>6</v>
      </c>
      <c r="R204" s="2" t="str">
        <f aca="false">IF(Q204=Topics!M204,"ok","differs from Topics")</f>
        <v>ok</v>
      </c>
    </row>
    <row r="205" customFormat="false" ht="15" hidden="false" customHeight="false" outlineLevel="0" collapsed="false">
      <c r="A205" s="2" t="s">
        <v>1389</v>
      </c>
      <c r="B205" s="2" t="s">
        <v>35</v>
      </c>
      <c r="C205" s="2" t="s">
        <v>1390</v>
      </c>
      <c r="D205" s="11"/>
      <c r="E205" s="11"/>
      <c r="F205" s="11"/>
      <c r="G205" s="11"/>
      <c r="H205" s="11"/>
      <c r="I205" s="11"/>
      <c r="J205" s="11"/>
      <c r="K205" s="11"/>
      <c r="L205" s="11"/>
      <c r="M205" s="11"/>
      <c r="N205" s="11" t="n">
        <v>5</v>
      </c>
      <c r="O205" s="11"/>
      <c r="P205" s="11"/>
      <c r="Q205" s="2" t="n">
        <f aca="false">SUM(D205:P205)</f>
        <v>5</v>
      </c>
      <c r="R205" s="2" t="str">
        <f aca="false">IF(Q205=Topics!M205,"ok","differs from Topics")</f>
        <v>ok</v>
      </c>
    </row>
    <row r="206" customFormat="false" ht="15" hidden="false" customHeight="false" outlineLevel="0" collapsed="false">
      <c r="A206" s="2" t="s">
        <v>1395</v>
      </c>
      <c r="B206" s="2" t="s">
        <v>35</v>
      </c>
      <c r="C206" s="2" t="s">
        <v>1397</v>
      </c>
      <c r="D206" s="11"/>
      <c r="E206" s="11"/>
      <c r="F206" s="11"/>
      <c r="G206" s="11"/>
      <c r="H206" s="11"/>
      <c r="I206" s="11"/>
      <c r="J206" s="11"/>
      <c r="K206" s="11"/>
      <c r="L206" s="11"/>
      <c r="M206" s="11"/>
      <c r="N206" s="11" t="n">
        <v>7</v>
      </c>
      <c r="O206" s="11"/>
      <c r="P206" s="11" t="n">
        <v>1</v>
      </c>
      <c r="Q206" s="2" t="n">
        <f aca="false">SUM(D206:P206)</f>
        <v>8</v>
      </c>
      <c r="R206" s="2" t="str">
        <f aca="false">IF(Q206=Topics!M206,"ok","differs from Topics")</f>
        <v>ok</v>
      </c>
    </row>
    <row r="207" customFormat="false" ht="15" hidden="false" customHeight="false" outlineLevel="0" collapsed="false">
      <c r="A207" s="2" t="s">
        <v>1402</v>
      </c>
      <c r="B207" s="2" t="s">
        <v>35</v>
      </c>
      <c r="C207" s="2" t="s">
        <v>1403</v>
      </c>
      <c r="D207" s="11"/>
      <c r="E207" s="11"/>
      <c r="F207" s="11"/>
      <c r="G207" s="11"/>
      <c r="H207" s="11"/>
      <c r="I207" s="11"/>
      <c r="J207" s="11"/>
      <c r="K207" s="11"/>
      <c r="L207" s="11"/>
      <c r="M207" s="11"/>
      <c r="N207" s="11" t="n">
        <v>4</v>
      </c>
      <c r="O207" s="11"/>
      <c r="P207" s="11" t="n">
        <v>1</v>
      </c>
      <c r="Q207" s="2" t="n">
        <f aca="false">SUM(D207:P207)</f>
        <v>5</v>
      </c>
      <c r="R207" s="2" t="str">
        <f aca="false">IF(Q207=Topics!M207,"ok","differs from Topics")</f>
        <v>ok</v>
      </c>
    </row>
    <row r="208" customFormat="false" ht="15" hidden="false" customHeight="false" outlineLevel="0" collapsed="false">
      <c r="A208" s="2" t="s">
        <v>1408</v>
      </c>
      <c r="B208" s="2" t="s">
        <v>35</v>
      </c>
      <c r="C208" s="2" t="s">
        <v>1409</v>
      </c>
      <c r="D208" s="11"/>
      <c r="E208" s="11"/>
      <c r="F208" s="11"/>
      <c r="G208" s="11"/>
      <c r="H208" s="11"/>
      <c r="I208" s="11"/>
      <c r="J208" s="11"/>
      <c r="K208" s="11"/>
      <c r="L208" s="11"/>
      <c r="M208" s="11"/>
      <c r="N208" s="11" t="n">
        <v>4</v>
      </c>
      <c r="O208" s="11" t="n">
        <v>3</v>
      </c>
      <c r="P208" s="11"/>
      <c r="Q208" s="2" t="n">
        <f aca="false">SUM(D208:P208)</f>
        <v>7</v>
      </c>
      <c r="R208" s="2" t="str">
        <f aca="false">IF(Q208=Topics!M208,"ok","differs from Topics")</f>
        <v>ok</v>
      </c>
    </row>
    <row r="209" customFormat="false" ht="15" hidden="false" customHeight="false" outlineLevel="0" collapsed="false">
      <c r="A209" s="2" t="s">
        <v>1413</v>
      </c>
      <c r="B209" s="2" t="s">
        <v>35</v>
      </c>
      <c r="C209" s="2" t="s">
        <v>1414</v>
      </c>
      <c r="D209" s="11"/>
      <c r="E209" s="11"/>
      <c r="F209" s="11"/>
      <c r="G209" s="11"/>
      <c r="H209" s="11"/>
      <c r="I209" s="11"/>
      <c r="J209" s="11"/>
      <c r="K209" s="11"/>
      <c r="L209" s="11"/>
      <c r="M209" s="11"/>
      <c r="N209" s="11" t="n">
        <v>3</v>
      </c>
      <c r="O209" s="11"/>
      <c r="P209" s="11"/>
      <c r="Q209" s="2" t="n">
        <f aca="false">SUM(D209:P209)</f>
        <v>3</v>
      </c>
      <c r="R209" s="2" t="str">
        <f aca="false">IF(Q209=Topics!M209,"ok","differs from Topics")</f>
        <v>ok</v>
      </c>
    </row>
    <row r="210" customFormat="false" ht="15" hidden="false" customHeight="false" outlineLevel="0" collapsed="false">
      <c r="A210" s="2" t="s">
        <v>1419</v>
      </c>
      <c r="B210" s="2" t="s">
        <v>35</v>
      </c>
      <c r="C210" s="2" t="s">
        <v>1420</v>
      </c>
      <c r="D210" s="11"/>
      <c r="E210" s="11"/>
      <c r="F210" s="11"/>
      <c r="G210" s="11"/>
      <c r="H210" s="11"/>
      <c r="I210" s="11"/>
      <c r="J210" s="11"/>
      <c r="K210" s="11"/>
      <c r="L210" s="11"/>
      <c r="M210" s="11"/>
      <c r="N210" s="11"/>
      <c r="O210" s="11" t="n">
        <v>2</v>
      </c>
      <c r="P210" s="11" t="n">
        <v>3</v>
      </c>
      <c r="Q210" s="2" t="n">
        <f aca="false">SUM(D210:P210)</f>
        <v>5</v>
      </c>
      <c r="R210" s="2" t="str">
        <f aca="false">IF(Q210=Topics!M210,"ok","differs from Topics")</f>
        <v>ok</v>
      </c>
    </row>
    <row r="211" customFormat="false" ht="15" hidden="false" customHeight="false" outlineLevel="0" collapsed="false">
      <c r="A211" s="2" t="s">
        <v>1424</v>
      </c>
      <c r="B211" s="2" t="s">
        <v>35</v>
      </c>
      <c r="C211" s="2" t="s">
        <v>1425</v>
      </c>
      <c r="D211" s="11"/>
      <c r="E211" s="11"/>
      <c r="F211" s="11"/>
      <c r="G211" s="11"/>
      <c r="H211" s="11"/>
      <c r="I211" s="11"/>
      <c r="J211" s="11"/>
      <c r="K211" s="11"/>
      <c r="L211" s="11"/>
      <c r="M211" s="11"/>
      <c r="N211" s="11"/>
      <c r="O211" s="11" t="n">
        <v>2</v>
      </c>
      <c r="P211" s="11" t="n">
        <v>3</v>
      </c>
      <c r="Q211" s="2" t="n">
        <f aca="false">SUM(D211:P211)</f>
        <v>5</v>
      </c>
      <c r="R211" s="2" t="str">
        <f aca="false">IF(Q211=Topics!M211,"ok","differs from Topics")</f>
        <v>ok</v>
      </c>
    </row>
    <row r="212" customFormat="false" ht="15" hidden="false" customHeight="false" outlineLevel="0" collapsed="false">
      <c r="A212" s="2" t="s">
        <v>1430</v>
      </c>
      <c r="B212" s="2" t="s">
        <v>35</v>
      </c>
      <c r="C212" s="2" t="s">
        <v>1431</v>
      </c>
      <c r="D212" s="11"/>
      <c r="E212" s="11"/>
      <c r="F212" s="11"/>
      <c r="G212" s="11"/>
      <c r="H212" s="11"/>
      <c r="I212" s="11"/>
      <c r="J212" s="11"/>
      <c r="K212" s="11"/>
      <c r="L212" s="11"/>
      <c r="M212" s="11"/>
      <c r="N212" s="11" t="n">
        <v>4</v>
      </c>
      <c r="O212" s="11" t="n">
        <v>2</v>
      </c>
      <c r="P212" s="11"/>
      <c r="Q212" s="2" t="n">
        <f aca="false">SUM(D212:P212)</f>
        <v>6</v>
      </c>
      <c r="R212" s="2" t="str">
        <f aca="false">IF(Q212=Topics!M212,"ok","differs from Topics")</f>
        <v>ok</v>
      </c>
    </row>
    <row r="213" customFormat="false" ht="15" hidden="false" customHeight="false" outlineLevel="0" collapsed="false">
      <c r="A213" s="2" t="s">
        <v>1436</v>
      </c>
      <c r="B213" s="2" t="s">
        <v>35</v>
      </c>
      <c r="C213" s="2" t="s">
        <v>1437</v>
      </c>
      <c r="D213" s="11"/>
      <c r="E213" s="11"/>
      <c r="F213" s="11"/>
      <c r="G213" s="11"/>
      <c r="H213" s="11"/>
      <c r="I213" s="11"/>
      <c r="J213" s="11"/>
      <c r="K213" s="11"/>
      <c r="L213" s="11"/>
      <c r="M213" s="11"/>
      <c r="N213" s="11"/>
      <c r="O213" s="11" t="n">
        <v>4</v>
      </c>
      <c r="P213" s="11" t="n">
        <v>2</v>
      </c>
      <c r="Q213" s="2" t="n">
        <f aca="false">SUM(D213:P213)</f>
        <v>6</v>
      </c>
      <c r="R213" s="2" t="str">
        <f aca="false">IF(Q213=Topics!M213,"ok","differs from Topics")</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4" min="3" style="0" width="70"/>
    <col collapsed="false" customWidth="true" hidden="false" outlineLevel="0" max="5" min="5" style="0" width="9"/>
  </cols>
  <sheetData>
    <row r="1" customFormat="false" ht="15" hidden="false" customHeight="false" outlineLevel="0" collapsed="false">
      <c r="A1" s="10" t="s">
        <v>26</v>
      </c>
      <c r="B1" s="10" t="s">
        <v>105</v>
      </c>
      <c r="C1" s="10" t="s">
        <v>1457</v>
      </c>
      <c r="D1" s="10" t="s">
        <v>1458</v>
      </c>
      <c r="E1" s="10" t="s">
        <v>1459</v>
      </c>
    </row>
    <row r="2" customFormat="false" ht="68.65" hidden="false" customHeight="false" outlineLevel="0" collapsed="false">
      <c r="A2" s="2" t="s">
        <v>32</v>
      </c>
      <c r="B2" s="2" t="s">
        <v>150</v>
      </c>
      <c r="C2" s="2" t="s">
        <v>1460</v>
      </c>
      <c r="D2" s="2" t="s">
        <v>1461</v>
      </c>
      <c r="E2" s="2" t="n">
        <f aca="false">SUMIF(Topics!$B$2:$B$213,A2,Topics!$M$2:$M$213)</f>
        <v>223</v>
      </c>
    </row>
    <row r="3" customFormat="false" ht="46.25" hidden="false" customHeight="false" outlineLevel="0" collapsed="false">
      <c r="A3" s="2" t="s">
        <v>33</v>
      </c>
      <c r="B3" s="2" t="s">
        <v>1462</v>
      </c>
      <c r="C3" s="2" t="s">
        <v>1463</v>
      </c>
      <c r="D3" s="2" t="s">
        <v>1464</v>
      </c>
      <c r="E3" s="2" t="n">
        <f aca="false">SUMIF(Topics!$B$2:$B$213,A3,Topics!$M$2:$M$213)</f>
        <v>320</v>
      </c>
    </row>
    <row r="4" customFormat="false" ht="46.25" hidden="false" customHeight="false" outlineLevel="0" collapsed="false">
      <c r="A4" s="2" t="s">
        <v>34</v>
      </c>
      <c r="B4" s="2" t="s">
        <v>741</v>
      </c>
      <c r="C4" s="2" t="s">
        <v>1465</v>
      </c>
      <c r="D4" s="2" t="s">
        <v>1466</v>
      </c>
      <c r="E4" s="2" t="n">
        <f aca="false">SUMIF(Topics!$B$2:$B$213,A4,Topics!$M$2:$M$213)</f>
        <v>405</v>
      </c>
    </row>
    <row r="5" customFormat="false" ht="57.45" hidden="false" customHeight="false" outlineLevel="0" collapsed="false">
      <c r="A5" s="2" t="s">
        <v>35</v>
      </c>
      <c r="B5" s="2" t="s">
        <v>1176</v>
      </c>
      <c r="C5" s="2" t="s">
        <v>1467</v>
      </c>
      <c r="D5" s="2" t="s">
        <v>1468</v>
      </c>
      <c r="E5" s="2" t="n">
        <f aca="false">SUMIF(Topics!$B$2:$B$213,A5,Topics!$M$2:$M$213)</f>
        <v>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3" min="2" style="0" width="10"/>
    <col collapsed="false" customWidth="true" hidden="false" outlineLevel="0" max="4" min="4" style="0" width="60"/>
    <col collapsed="false" customWidth="true" hidden="false" outlineLevel="0" max="5" min="5" style="0" width="45"/>
    <col collapsed="false" customWidth="true" hidden="false" outlineLevel="0" max="6" min="6" style="0" width="40"/>
  </cols>
  <sheetData>
    <row r="1" customFormat="false" ht="15" hidden="false" customHeight="false" outlineLevel="0" collapsed="false">
      <c r="A1" s="10" t="s">
        <v>38</v>
      </c>
      <c r="B1" s="10" t="s">
        <v>26</v>
      </c>
      <c r="C1" s="10" t="s">
        <v>1469</v>
      </c>
      <c r="D1" s="10" t="s">
        <v>1470</v>
      </c>
      <c r="E1" s="10" t="s">
        <v>113</v>
      </c>
      <c r="F1" s="10" t="s">
        <v>1471</v>
      </c>
    </row>
    <row r="2" customFormat="false" ht="23.85" hidden="false" customHeight="false" outlineLevel="0" collapsed="false">
      <c r="A2" s="2" t="s">
        <v>117</v>
      </c>
      <c r="B2" s="2" t="s">
        <v>32</v>
      </c>
      <c r="C2" s="2" t="s">
        <v>121</v>
      </c>
      <c r="D2" s="2" t="s">
        <v>1472</v>
      </c>
      <c r="E2" s="2" t="s">
        <v>122</v>
      </c>
      <c r="F2" s="2" t="s">
        <v>116</v>
      </c>
    </row>
    <row r="3" customFormat="false" ht="23.85" hidden="false" customHeight="false" outlineLevel="0" collapsed="false">
      <c r="A3" s="2" t="s">
        <v>117</v>
      </c>
      <c r="B3" s="2" t="s">
        <v>32</v>
      </c>
      <c r="C3" s="2" t="s">
        <v>1473</v>
      </c>
      <c r="D3" s="2" t="s">
        <v>1474</v>
      </c>
      <c r="E3" s="2" t="s">
        <v>1475</v>
      </c>
      <c r="F3" s="2" t="s">
        <v>1476</v>
      </c>
    </row>
    <row r="4" customFormat="false" ht="35.05" hidden="false" customHeight="false" outlineLevel="0" collapsed="false">
      <c r="A4" s="2" t="s">
        <v>117</v>
      </c>
      <c r="B4" s="2" t="s">
        <v>32</v>
      </c>
      <c r="C4" s="2" t="s">
        <v>1477</v>
      </c>
      <c r="D4" s="2" t="s">
        <v>1478</v>
      </c>
      <c r="E4" s="2" t="s">
        <v>1479</v>
      </c>
      <c r="F4" s="2" t="s">
        <v>1480</v>
      </c>
    </row>
    <row r="5" customFormat="false" ht="23.85" hidden="false" customHeight="false" outlineLevel="0" collapsed="false">
      <c r="A5" s="2" t="s">
        <v>117</v>
      </c>
      <c r="B5" s="2" t="s">
        <v>32</v>
      </c>
      <c r="C5" s="2" t="s">
        <v>1481</v>
      </c>
      <c r="D5" s="2" t="s">
        <v>1482</v>
      </c>
      <c r="E5" s="2" t="s">
        <v>141</v>
      </c>
      <c r="F5" s="2" t="s">
        <v>137</v>
      </c>
    </row>
    <row r="6" customFormat="false" ht="23.85" hidden="false" customHeight="false" outlineLevel="0" collapsed="false">
      <c r="A6" s="2" t="s">
        <v>117</v>
      </c>
      <c r="B6" s="2" t="s">
        <v>32</v>
      </c>
      <c r="C6" s="2" t="s">
        <v>1483</v>
      </c>
      <c r="D6" s="2" t="s">
        <v>1484</v>
      </c>
      <c r="E6" s="2" t="s">
        <v>147</v>
      </c>
      <c r="F6" s="2" t="s">
        <v>1485</v>
      </c>
    </row>
    <row r="7" customFormat="false" ht="23.85" hidden="false" customHeight="false" outlineLevel="0" collapsed="false">
      <c r="A7" s="2" t="s">
        <v>117</v>
      </c>
      <c r="B7" s="2" t="s">
        <v>32</v>
      </c>
      <c r="C7" s="2" t="s">
        <v>1486</v>
      </c>
      <c r="D7" s="2" t="s">
        <v>1487</v>
      </c>
      <c r="E7" s="2" t="s">
        <v>154</v>
      </c>
      <c r="F7" s="2" t="s">
        <v>149</v>
      </c>
    </row>
    <row r="8" customFormat="false" ht="35.05" hidden="false" customHeight="false" outlineLevel="0" collapsed="false">
      <c r="A8" s="2" t="s">
        <v>117</v>
      </c>
      <c r="B8" s="2" t="s">
        <v>32</v>
      </c>
      <c r="C8" s="2" t="s">
        <v>159</v>
      </c>
      <c r="D8" s="2" t="s">
        <v>1488</v>
      </c>
      <c r="E8" s="2" t="s">
        <v>1489</v>
      </c>
      <c r="F8" s="2" t="s">
        <v>156</v>
      </c>
    </row>
    <row r="9" customFormat="false" ht="35.05" hidden="false" customHeight="false" outlineLevel="0" collapsed="false">
      <c r="A9" s="2" t="s">
        <v>163</v>
      </c>
      <c r="B9" s="2" t="s">
        <v>32</v>
      </c>
      <c r="C9" s="2" t="s">
        <v>1490</v>
      </c>
      <c r="D9" s="2" t="s">
        <v>1491</v>
      </c>
      <c r="E9" s="2" t="s">
        <v>1492</v>
      </c>
      <c r="F9" s="2" t="s">
        <v>162</v>
      </c>
    </row>
    <row r="10" customFormat="false" ht="23.85" hidden="false" customHeight="false" outlineLevel="0" collapsed="false">
      <c r="A10" s="2" t="s">
        <v>163</v>
      </c>
      <c r="B10" s="2" t="s">
        <v>32</v>
      </c>
      <c r="C10" s="2" t="s">
        <v>178</v>
      </c>
      <c r="D10" s="2" t="s">
        <v>1493</v>
      </c>
      <c r="E10" s="2" t="s">
        <v>179</v>
      </c>
      <c r="F10" s="2" t="s">
        <v>175</v>
      </c>
    </row>
    <row r="11" customFormat="false" ht="23.85" hidden="false" customHeight="false" outlineLevel="0" collapsed="false">
      <c r="A11" s="2" t="s">
        <v>163</v>
      </c>
      <c r="B11" s="2" t="s">
        <v>32</v>
      </c>
      <c r="C11" s="2" t="s">
        <v>172</v>
      </c>
      <c r="D11" s="2" t="s">
        <v>1494</v>
      </c>
      <c r="E11" s="2" t="s">
        <v>1495</v>
      </c>
      <c r="F11" s="2" t="s">
        <v>169</v>
      </c>
    </row>
    <row r="12" customFormat="false" ht="23.85" hidden="false" customHeight="false" outlineLevel="0" collapsed="false">
      <c r="A12" s="2" t="s">
        <v>163</v>
      </c>
      <c r="B12" s="2" t="s">
        <v>32</v>
      </c>
      <c r="C12" s="2" t="s">
        <v>184</v>
      </c>
      <c r="D12" s="2" t="s">
        <v>1496</v>
      </c>
      <c r="E12" s="2" t="s">
        <v>185</v>
      </c>
      <c r="F12" s="2" t="s">
        <v>181</v>
      </c>
    </row>
    <row r="13" customFormat="false" ht="23.85" hidden="false" customHeight="false" outlineLevel="0" collapsed="false">
      <c r="A13" s="2" t="s">
        <v>163</v>
      </c>
      <c r="B13" s="2" t="s">
        <v>32</v>
      </c>
      <c r="C13" s="2" t="s">
        <v>190</v>
      </c>
      <c r="D13" s="2" t="s">
        <v>1497</v>
      </c>
      <c r="E13" s="2" t="s">
        <v>1498</v>
      </c>
      <c r="F13" s="2" t="s">
        <v>187</v>
      </c>
    </row>
    <row r="14" customFormat="false" ht="23.85" hidden="false" customHeight="false" outlineLevel="0" collapsed="false">
      <c r="A14" s="2" t="s">
        <v>163</v>
      </c>
      <c r="B14" s="2" t="s">
        <v>32</v>
      </c>
      <c r="C14" s="2" t="s">
        <v>1499</v>
      </c>
      <c r="D14" s="2" t="s">
        <v>1500</v>
      </c>
      <c r="E14" s="2" t="s">
        <v>1501</v>
      </c>
      <c r="F14" s="2" t="s">
        <v>1502</v>
      </c>
    </row>
    <row r="15" customFormat="false" ht="35.05" hidden="false" customHeight="false" outlineLevel="0" collapsed="false">
      <c r="A15" s="2" t="s">
        <v>163</v>
      </c>
      <c r="B15" s="2" t="s">
        <v>32</v>
      </c>
      <c r="C15" s="2" t="s">
        <v>1503</v>
      </c>
      <c r="D15" s="2" t="s">
        <v>1504</v>
      </c>
      <c r="E15" s="2" t="s">
        <v>1505</v>
      </c>
      <c r="F15" s="2" t="s">
        <v>1506</v>
      </c>
    </row>
    <row r="16" customFormat="false" ht="23.85" hidden="false" customHeight="false" outlineLevel="0" collapsed="false">
      <c r="A16" s="2" t="s">
        <v>163</v>
      </c>
      <c r="B16" s="2" t="s">
        <v>32</v>
      </c>
      <c r="C16" s="2" t="s">
        <v>1507</v>
      </c>
      <c r="D16" s="2" t="s">
        <v>1508</v>
      </c>
      <c r="E16" s="2" t="s">
        <v>1509</v>
      </c>
      <c r="F16" s="2" t="s">
        <v>1510</v>
      </c>
    </row>
    <row r="17" customFormat="false" ht="23.85" hidden="false" customHeight="false" outlineLevel="0" collapsed="false">
      <c r="A17" s="2" t="s">
        <v>194</v>
      </c>
      <c r="B17" s="2" t="s">
        <v>32</v>
      </c>
      <c r="C17" s="2" t="s">
        <v>1511</v>
      </c>
      <c r="D17" s="2" t="s">
        <v>1512</v>
      </c>
      <c r="E17" s="2" t="s">
        <v>1513</v>
      </c>
      <c r="F17" s="2" t="s">
        <v>1514</v>
      </c>
    </row>
    <row r="18" customFormat="false" ht="23.85" hidden="false" customHeight="false" outlineLevel="0" collapsed="false">
      <c r="A18" s="2" t="s">
        <v>194</v>
      </c>
      <c r="B18" s="2" t="s">
        <v>32</v>
      </c>
      <c r="C18" s="2" t="s">
        <v>203</v>
      </c>
      <c r="D18" s="2" t="s">
        <v>1515</v>
      </c>
      <c r="E18" s="2" t="s">
        <v>339</v>
      </c>
      <c r="F18" s="2" t="s">
        <v>1516</v>
      </c>
    </row>
    <row r="19" customFormat="false" ht="23.85" hidden="false" customHeight="false" outlineLevel="0" collapsed="false">
      <c r="A19" s="2" t="s">
        <v>194</v>
      </c>
      <c r="B19" s="2" t="s">
        <v>32</v>
      </c>
      <c r="C19" s="2" t="s">
        <v>1517</v>
      </c>
      <c r="D19" s="2" t="s">
        <v>1518</v>
      </c>
      <c r="E19" s="2" t="s">
        <v>210</v>
      </c>
      <c r="F19" s="2" t="s">
        <v>206</v>
      </c>
    </row>
    <row r="20" customFormat="false" ht="23.85" hidden="false" customHeight="false" outlineLevel="0" collapsed="false">
      <c r="A20" s="2" t="s">
        <v>194</v>
      </c>
      <c r="B20" s="2" t="s">
        <v>32</v>
      </c>
      <c r="C20" s="2" t="s">
        <v>221</v>
      </c>
      <c r="D20" s="2" t="s">
        <v>1519</v>
      </c>
      <c r="E20" s="2" t="s">
        <v>1520</v>
      </c>
      <c r="F20" s="2" t="s">
        <v>1521</v>
      </c>
    </row>
    <row r="21" customFormat="false" ht="23.85" hidden="false" customHeight="false" outlineLevel="0" collapsed="false">
      <c r="A21" s="2" t="s">
        <v>194</v>
      </c>
      <c r="B21" s="2" t="s">
        <v>32</v>
      </c>
      <c r="C21" s="2" t="s">
        <v>234</v>
      </c>
      <c r="D21" s="2" t="s">
        <v>1522</v>
      </c>
      <c r="E21" s="2" t="s">
        <v>1523</v>
      </c>
      <c r="F21" s="2" t="s">
        <v>1524</v>
      </c>
    </row>
    <row r="22" customFormat="false" ht="23.85" hidden="false" customHeight="false" outlineLevel="0" collapsed="false">
      <c r="A22" s="2" t="s">
        <v>194</v>
      </c>
      <c r="B22" s="2" t="s">
        <v>32</v>
      </c>
      <c r="C22" s="2" t="s">
        <v>268</v>
      </c>
      <c r="D22" s="2" t="s">
        <v>1525</v>
      </c>
      <c r="E22" s="2" t="s">
        <v>1526</v>
      </c>
      <c r="F22" s="2" t="s">
        <v>1527</v>
      </c>
    </row>
    <row r="23" customFormat="false" ht="35.05" hidden="false" customHeight="false" outlineLevel="0" collapsed="false">
      <c r="A23" s="2" t="s">
        <v>194</v>
      </c>
      <c r="B23" s="2" t="s">
        <v>32</v>
      </c>
      <c r="C23" s="2" t="s">
        <v>1528</v>
      </c>
      <c r="D23" s="2" t="s">
        <v>1529</v>
      </c>
      <c r="E23" s="2" t="s">
        <v>1530</v>
      </c>
      <c r="F23" s="2" t="s">
        <v>1531</v>
      </c>
    </row>
    <row r="24" customFormat="false" ht="23.85" hidden="false" customHeight="false" outlineLevel="0" collapsed="false">
      <c r="A24" s="2" t="s">
        <v>194</v>
      </c>
      <c r="B24" s="2" t="s">
        <v>32</v>
      </c>
      <c r="C24" s="2" t="s">
        <v>1532</v>
      </c>
      <c r="D24" s="2" t="s">
        <v>1533</v>
      </c>
      <c r="E24" s="2" t="s">
        <v>229</v>
      </c>
      <c r="F24" s="2" t="s">
        <v>224</v>
      </c>
    </row>
    <row r="25" customFormat="false" ht="35.05" hidden="false" customHeight="false" outlineLevel="0" collapsed="false">
      <c r="A25" s="2" t="s">
        <v>304</v>
      </c>
      <c r="B25" s="2" t="s">
        <v>33</v>
      </c>
      <c r="C25" s="2" t="s">
        <v>320</v>
      </c>
      <c r="D25" s="2" t="s">
        <v>1534</v>
      </c>
      <c r="E25" s="2" t="s">
        <v>1535</v>
      </c>
      <c r="F25" s="2" t="s">
        <v>317</v>
      </c>
    </row>
    <row r="26" customFormat="false" ht="35.05" hidden="false" customHeight="false" outlineLevel="0" collapsed="false">
      <c r="A26" s="2" t="s">
        <v>304</v>
      </c>
      <c r="B26" s="2" t="s">
        <v>33</v>
      </c>
      <c r="C26" s="2" t="s">
        <v>326</v>
      </c>
      <c r="D26" s="2" t="s">
        <v>1536</v>
      </c>
      <c r="E26" s="2" t="s">
        <v>1537</v>
      </c>
      <c r="F26" s="2" t="s">
        <v>323</v>
      </c>
    </row>
    <row r="27" customFormat="false" ht="23.85" hidden="false" customHeight="false" outlineLevel="0" collapsed="false">
      <c r="A27" s="2" t="s">
        <v>304</v>
      </c>
      <c r="B27" s="2" t="s">
        <v>33</v>
      </c>
      <c r="C27" s="2" t="s">
        <v>332</v>
      </c>
      <c r="D27" s="2" t="s">
        <v>1538</v>
      </c>
      <c r="E27" s="2" t="s">
        <v>1539</v>
      </c>
      <c r="F27" s="2" t="s">
        <v>1540</v>
      </c>
    </row>
    <row r="28" customFormat="false" ht="23.85" hidden="false" customHeight="false" outlineLevel="0" collapsed="false">
      <c r="A28" s="2" t="s">
        <v>304</v>
      </c>
      <c r="B28" s="2" t="s">
        <v>33</v>
      </c>
      <c r="C28" s="2" t="s">
        <v>1541</v>
      </c>
      <c r="D28" s="2" t="s">
        <v>1542</v>
      </c>
      <c r="E28" s="2" t="s">
        <v>1543</v>
      </c>
      <c r="F28" s="2" t="s">
        <v>1544</v>
      </c>
    </row>
    <row r="29" customFormat="false" ht="35.05" hidden="false" customHeight="false" outlineLevel="0" collapsed="false">
      <c r="A29" s="2" t="s">
        <v>304</v>
      </c>
      <c r="B29" s="2" t="s">
        <v>33</v>
      </c>
      <c r="C29" s="2" t="s">
        <v>1545</v>
      </c>
      <c r="D29" s="2" t="s">
        <v>1546</v>
      </c>
      <c r="E29" s="2" t="s">
        <v>198</v>
      </c>
      <c r="F29" s="2" t="s">
        <v>1544</v>
      </c>
    </row>
    <row r="30" customFormat="false" ht="23.85" hidden="false" customHeight="false" outlineLevel="0" collapsed="false">
      <c r="A30" s="2" t="s">
        <v>304</v>
      </c>
      <c r="B30" s="2" t="s">
        <v>33</v>
      </c>
      <c r="C30" s="2" t="s">
        <v>1547</v>
      </c>
      <c r="D30" s="2" t="s">
        <v>1548</v>
      </c>
      <c r="E30" s="2" t="s">
        <v>1549</v>
      </c>
      <c r="F30" s="2" t="s">
        <v>335</v>
      </c>
    </row>
    <row r="31" customFormat="false" ht="23.85" hidden="false" customHeight="false" outlineLevel="0" collapsed="false">
      <c r="A31" s="2" t="s">
        <v>304</v>
      </c>
      <c r="B31" s="2" t="s">
        <v>33</v>
      </c>
      <c r="C31" s="2" t="s">
        <v>350</v>
      </c>
      <c r="D31" s="2" t="s">
        <v>1550</v>
      </c>
      <c r="E31" s="2" t="s">
        <v>1551</v>
      </c>
      <c r="F31" s="2" t="s">
        <v>347</v>
      </c>
    </row>
    <row r="32" customFormat="false" ht="35.05" hidden="false" customHeight="false" outlineLevel="0" collapsed="false">
      <c r="A32" s="2" t="s">
        <v>304</v>
      </c>
      <c r="B32" s="2" t="s">
        <v>33</v>
      </c>
      <c r="C32" s="2" t="s">
        <v>307</v>
      </c>
      <c r="D32" s="2" t="s">
        <v>1552</v>
      </c>
      <c r="E32" s="2" t="s">
        <v>1553</v>
      </c>
      <c r="F32" s="2" t="s">
        <v>1554</v>
      </c>
    </row>
    <row r="33" customFormat="false" ht="23.85" hidden="false" customHeight="false" outlineLevel="0" collapsed="false">
      <c r="A33" s="2" t="s">
        <v>370</v>
      </c>
      <c r="B33" s="2" t="s">
        <v>33</v>
      </c>
      <c r="C33" s="2" t="s">
        <v>1555</v>
      </c>
      <c r="D33" s="2" t="s">
        <v>1556</v>
      </c>
      <c r="E33" s="2" t="s">
        <v>1557</v>
      </c>
      <c r="F33" s="2" t="s">
        <v>1558</v>
      </c>
    </row>
    <row r="34" customFormat="false" ht="35.05" hidden="false" customHeight="false" outlineLevel="0" collapsed="false">
      <c r="A34" s="2" t="s">
        <v>370</v>
      </c>
      <c r="B34" s="2" t="s">
        <v>33</v>
      </c>
      <c r="C34" s="2" t="s">
        <v>1559</v>
      </c>
      <c r="D34" s="2" t="s">
        <v>1560</v>
      </c>
      <c r="E34" s="2" t="s">
        <v>1561</v>
      </c>
      <c r="F34" s="2" t="s">
        <v>1562</v>
      </c>
    </row>
    <row r="35" customFormat="false" ht="23.85" hidden="false" customHeight="false" outlineLevel="0" collapsed="false">
      <c r="A35" s="2" t="s">
        <v>370</v>
      </c>
      <c r="B35" s="2" t="s">
        <v>33</v>
      </c>
      <c r="C35" s="2" t="s">
        <v>1563</v>
      </c>
      <c r="D35" s="2" t="s">
        <v>1564</v>
      </c>
      <c r="E35" s="2" t="s">
        <v>1565</v>
      </c>
      <c r="F35" s="2" t="s">
        <v>1566</v>
      </c>
    </row>
    <row r="36" customFormat="false" ht="35.05" hidden="false" customHeight="false" outlineLevel="0" collapsed="false">
      <c r="A36" s="2" t="s">
        <v>370</v>
      </c>
      <c r="B36" s="2" t="s">
        <v>33</v>
      </c>
      <c r="C36" s="2" t="s">
        <v>398</v>
      </c>
      <c r="D36" s="2" t="s">
        <v>1567</v>
      </c>
      <c r="E36" s="2" t="s">
        <v>1568</v>
      </c>
      <c r="F36" s="2" t="s">
        <v>1569</v>
      </c>
    </row>
    <row r="37" customFormat="false" ht="23.85" hidden="false" customHeight="false" outlineLevel="0" collapsed="false">
      <c r="A37" s="2" t="s">
        <v>370</v>
      </c>
      <c r="B37" s="2" t="s">
        <v>33</v>
      </c>
      <c r="C37" s="2" t="s">
        <v>1570</v>
      </c>
      <c r="D37" s="2" t="s">
        <v>1571</v>
      </c>
      <c r="E37" s="2" t="s">
        <v>1572</v>
      </c>
      <c r="F37" s="2" t="s">
        <v>1573</v>
      </c>
    </row>
    <row r="38" customFormat="false" ht="35.05" hidden="false" customHeight="false" outlineLevel="0" collapsed="false">
      <c r="A38" s="2" t="s">
        <v>370</v>
      </c>
      <c r="B38" s="2" t="s">
        <v>33</v>
      </c>
      <c r="C38" s="2" t="s">
        <v>1574</v>
      </c>
      <c r="D38" s="2" t="s">
        <v>1575</v>
      </c>
      <c r="E38" s="2" t="s">
        <v>1576</v>
      </c>
      <c r="F38" s="2" t="s">
        <v>1577</v>
      </c>
    </row>
    <row r="39" customFormat="false" ht="35.05" hidden="false" customHeight="false" outlineLevel="0" collapsed="false">
      <c r="A39" s="2" t="s">
        <v>370</v>
      </c>
      <c r="B39" s="2" t="s">
        <v>33</v>
      </c>
      <c r="C39" s="2" t="s">
        <v>1578</v>
      </c>
      <c r="D39" s="2" t="s">
        <v>1579</v>
      </c>
      <c r="E39" s="2" t="s">
        <v>1580</v>
      </c>
      <c r="F39" s="2" t="s">
        <v>1581</v>
      </c>
    </row>
    <row r="40" customFormat="false" ht="35.05" hidden="false" customHeight="false" outlineLevel="0" collapsed="false">
      <c r="A40" s="2" t="s">
        <v>370</v>
      </c>
      <c r="B40" s="2" t="s">
        <v>33</v>
      </c>
      <c r="C40" s="2" t="s">
        <v>548</v>
      </c>
      <c r="D40" s="2" t="s">
        <v>1582</v>
      </c>
      <c r="E40" s="2" t="s">
        <v>1583</v>
      </c>
      <c r="F40" s="2" t="s">
        <v>545</v>
      </c>
    </row>
    <row r="41" customFormat="false" ht="35.05" hidden="false" customHeight="false" outlineLevel="0" collapsed="false">
      <c r="A41" s="2" t="s">
        <v>437</v>
      </c>
      <c r="B41" s="2" t="s">
        <v>33</v>
      </c>
      <c r="C41" s="2" t="s">
        <v>1584</v>
      </c>
      <c r="D41" s="2" t="s">
        <v>1585</v>
      </c>
      <c r="E41" s="2" t="s">
        <v>1586</v>
      </c>
      <c r="F41" s="2" t="s">
        <v>1587</v>
      </c>
    </row>
    <row r="42" customFormat="false" ht="23.85" hidden="false" customHeight="false" outlineLevel="0" collapsed="false">
      <c r="A42" s="2" t="s">
        <v>437</v>
      </c>
      <c r="B42" s="2" t="s">
        <v>33</v>
      </c>
      <c r="C42" s="2" t="s">
        <v>1588</v>
      </c>
      <c r="D42" s="2" t="s">
        <v>1589</v>
      </c>
      <c r="E42" s="2" t="s">
        <v>1590</v>
      </c>
      <c r="F42" s="2" t="s">
        <v>1591</v>
      </c>
    </row>
    <row r="43" customFormat="false" ht="23.85" hidden="false" customHeight="false" outlineLevel="0" collapsed="false">
      <c r="A43" s="2" t="s">
        <v>437</v>
      </c>
      <c r="B43" s="2" t="s">
        <v>33</v>
      </c>
      <c r="C43" s="2" t="s">
        <v>1592</v>
      </c>
      <c r="D43" s="2" t="s">
        <v>1593</v>
      </c>
      <c r="E43" s="2" t="s">
        <v>1594</v>
      </c>
      <c r="F43" s="2" t="s">
        <v>1595</v>
      </c>
    </row>
    <row r="44" customFormat="false" ht="23.85" hidden="false" customHeight="false" outlineLevel="0" collapsed="false">
      <c r="A44" s="2" t="s">
        <v>437</v>
      </c>
      <c r="B44" s="2" t="s">
        <v>33</v>
      </c>
      <c r="C44" s="2" t="s">
        <v>1596</v>
      </c>
      <c r="D44" s="2" t="s">
        <v>1597</v>
      </c>
      <c r="E44" s="2" t="s">
        <v>1598</v>
      </c>
      <c r="F44" s="2" t="s">
        <v>1599</v>
      </c>
    </row>
    <row r="45" customFormat="false" ht="23.85" hidden="false" customHeight="false" outlineLevel="0" collapsed="false">
      <c r="A45" s="2" t="s">
        <v>437</v>
      </c>
      <c r="B45" s="2" t="s">
        <v>33</v>
      </c>
      <c r="C45" s="2" t="s">
        <v>1600</v>
      </c>
      <c r="D45" s="2" t="s">
        <v>1601</v>
      </c>
      <c r="E45" s="2" t="s">
        <v>524</v>
      </c>
      <c r="F45" s="2" t="s">
        <v>520</v>
      </c>
    </row>
    <row r="46" customFormat="false" ht="35.05" hidden="false" customHeight="false" outlineLevel="0" collapsed="false">
      <c r="A46" s="2" t="s">
        <v>437</v>
      </c>
      <c r="B46" s="2" t="s">
        <v>33</v>
      </c>
      <c r="C46" s="2" t="s">
        <v>536</v>
      </c>
      <c r="D46" s="2" t="s">
        <v>1602</v>
      </c>
      <c r="E46" s="2" t="s">
        <v>1603</v>
      </c>
      <c r="F46" s="2" t="s">
        <v>1604</v>
      </c>
    </row>
    <row r="47" customFormat="false" ht="46.25" hidden="false" customHeight="false" outlineLevel="0" collapsed="false">
      <c r="A47" s="2" t="s">
        <v>437</v>
      </c>
      <c r="B47" s="2" t="s">
        <v>33</v>
      </c>
      <c r="C47" s="2" t="s">
        <v>448</v>
      </c>
      <c r="D47" s="2" t="s">
        <v>1605</v>
      </c>
      <c r="E47" s="2" t="s">
        <v>1606</v>
      </c>
      <c r="F47" s="2" t="s">
        <v>1607</v>
      </c>
    </row>
    <row r="48" customFormat="false" ht="23.85" hidden="false" customHeight="false" outlineLevel="0" collapsed="false">
      <c r="A48" s="2" t="s">
        <v>437</v>
      </c>
      <c r="B48" s="2" t="s">
        <v>33</v>
      </c>
      <c r="C48" s="2" t="s">
        <v>1608</v>
      </c>
      <c r="D48" s="2" t="s">
        <v>1609</v>
      </c>
      <c r="E48" s="2" t="s">
        <v>1610</v>
      </c>
      <c r="F48" s="2" t="s">
        <v>1611</v>
      </c>
    </row>
    <row r="49" customFormat="false" ht="35.05" hidden="false" customHeight="false" outlineLevel="0" collapsed="false">
      <c r="A49" s="2" t="s">
        <v>639</v>
      </c>
      <c r="B49" s="2" t="s">
        <v>34</v>
      </c>
      <c r="C49" s="2" t="s">
        <v>709</v>
      </c>
      <c r="D49" s="2" t="s">
        <v>1612</v>
      </c>
      <c r="E49" s="2" t="s">
        <v>1613</v>
      </c>
      <c r="F49" s="2" t="s">
        <v>1614</v>
      </c>
    </row>
    <row r="50" customFormat="false" ht="23.85" hidden="false" customHeight="false" outlineLevel="0" collapsed="false">
      <c r="A50" s="2" t="s">
        <v>639</v>
      </c>
      <c r="B50" s="2" t="s">
        <v>34</v>
      </c>
      <c r="C50" s="2" t="s">
        <v>1615</v>
      </c>
      <c r="D50" s="2" t="s">
        <v>1616</v>
      </c>
      <c r="E50" s="2" t="s">
        <v>1617</v>
      </c>
      <c r="F50" s="2" t="s">
        <v>625</v>
      </c>
    </row>
    <row r="51" customFormat="false" ht="35.05" hidden="false" customHeight="false" outlineLevel="0" collapsed="false">
      <c r="A51" s="2" t="s">
        <v>639</v>
      </c>
      <c r="B51" s="2" t="s">
        <v>34</v>
      </c>
      <c r="C51" s="2" t="s">
        <v>690</v>
      </c>
      <c r="D51" s="2" t="s">
        <v>1618</v>
      </c>
      <c r="E51" s="2" t="s">
        <v>1619</v>
      </c>
      <c r="F51" s="2" t="s">
        <v>1620</v>
      </c>
    </row>
    <row r="52" customFormat="false" ht="23.85" hidden="false" customHeight="false" outlineLevel="0" collapsed="false">
      <c r="A52" s="2" t="s">
        <v>639</v>
      </c>
      <c r="B52" s="2" t="s">
        <v>34</v>
      </c>
      <c r="C52" s="2" t="s">
        <v>642</v>
      </c>
      <c r="D52" s="2" t="s">
        <v>1621</v>
      </c>
      <c r="E52" s="2" t="s">
        <v>643</v>
      </c>
      <c r="F52" s="2" t="s">
        <v>1622</v>
      </c>
    </row>
    <row r="53" customFormat="false" ht="23.85" hidden="false" customHeight="false" outlineLevel="0" collapsed="false">
      <c r="A53" s="2" t="s">
        <v>639</v>
      </c>
      <c r="B53" s="2" t="s">
        <v>34</v>
      </c>
      <c r="C53" s="2" t="s">
        <v>1623</v>
      </c>
      <c r="D53" s="2" t="s">
        <v>1624</v>
      </c>
      <c r="E53" s="2" t="s">
        <v>1625</v>
      </c>
      <c r="F53" s="2" t="s">
        <v>1626</v>
      </c>
    </row>
    <row r="54" customFormat="false" ht="23.85" hidden="false" customHeight="false" outlineLevel="0" collapsed="false">
      <c r="A54" s="2" t="s">
        <v>639</v>
      </c>
      <c r="B54" s="2" t="s">
        <v>34</v>
      </c>
      <c r="C54" s="2" t="s">
        <v>715</v>
      </c>
      <c r="D54" s="2" t="s">
        <v>1627</v>
      </c>
      <c r="E54" s="2" t="s">
        <v>1628</v>
      </c>
      <c r="F54" s="2" t="s">
        <v>1629</v>
      </c>
    </row>
    <row r="55" customFormat="false" ht="35.05" hidden="false" customHeight="false" outlineLevel="0" collapsed="false">
      <c r="A55" s="2" t="s">
        <v>639</v>
      </c>
      <c r="B55" s="2" t="s">
        <v>34</v>
      </c>
      <c r="C55" s="2" t="s">
        <v>1630</v>
      </c>
      <c r="D55" s="2" t="s">
        <v>1631</v>
      </c>
      <c r="E55" s="2" t="s">
        <v>1030</v>
      </c>
      <c r="F55" s="2" t="s">
        <v>1632</v>
      </c>
    </row>
    <row r="56" customFormat="false" ht="35.05" hidden="false" customHeight="false" outlineLevel="0" collapsed="false">
      <c r="A56" s="2" t="s">
        <v>639</v>
      </c>
      <c r="B56" s="2" t="s">
        <v>34</v>
      </c>
      <c r="C56" s="2" t="s">
        <v>751</v>
      </c>
      <c r="D56" s="2" t="s">
        <v>1633</v>
      </c>
      <c r="E56" s="2" t="s">
        <v>1634</v>
      </c>
      <c r="F56" s="2" t="s">
        <v>1635</v>
      </c>
    </row>
    <row r="57" customFormat="false" ht="23.85" hidden="false" customHeight="false" outlineLevel="0" collapsed="false">
      <c r="A57" s="2" t="s">
        <v>781</v>
      </c>
      <c r="B57" s="2" t="s">
        <v>34</v>
      </c>
      <c r="C57" s="2" t="s">
        <v>1636</v>
      </c>
      <c r="D57" s="2" t="s">
        <v>1637</v>
      </c>
      <c r="E57" s="2" t="s">
        <v>1638</v>
      </c>
      <c r="F57" s="2" t="s">
        <v>773</v>
      </c>
    </row>
    <row r="58" customFormat="false" ht="23.85" hidden="false" customHeight="false" outlineLevel="0" collapsed="false">
      <c r="A58" s="2" t="s">
        <v>781</v>
      </c>
      <c r="B58" s="2" t="s">
        <v>34</v>
      </c>
      <c r="C58" s="2" t="s">
        <v>784</v>
      </c>
      <c r="D58" s="2" t="s">
        <v>1639</v>
      </c>
      <c r="E58" s="2" t="s">
        <v>785</v>
      </c>
      <c r="F58" s="2" t="s">
        <v>780</v>
      </c>
    </row>
    <row r="59" customFormat="false" ht="23.85" hidden="false" customHeight="false" outlineLevel="0" collapsed="false">
      <c r="A59" s="2" t="s">
        <v>781</v>
      </c>
      <c r="B59" s="2" t="s">
        <v>34</v>
      </c>
      <c r="C59" s="2" t="s">
        <v>1640</v>
      </c>
      <c r="D59" s="2" t="s">
        <v>1641</v>
      </c>
      <c r="E59" s="2" t="s">
        <v>1642</v>
      </c>
      <c r="F59" s="2" t="s">
        <v>1643</v>
      </c>
    </row>
    <row r="60" customFormat="false" ht="23.85" hidden="false" customHeight="false" outlineLevel="0" collapsed="false">
      <c r="A60" s="2" t="s">
        <v>781</v>
      </c>
      <c r="B60" s="2" t="s">
        <v>34</v>
      </c>
      <c r="C60" s="2" t="s">
        <v>865</v>
      </c>
      <c r="D60" s="2" t="s">
        <v>1644</v>
      </c>
      <c r="E60" s="2" t="s">
        <v>1645</v>
      </c>
      <c r="F60" s="2" t="s">
        <v>862</v>
      </c>
    </row>
    <row r="61" customFormat="false" ht="23.85" hidden="false" customHeight="false" outlineLevel="0" collapsed="false">
      <c r="A61" s="2" t="s">
        <v>781</v>
      </c>
      <c r="B61" s="2" t="s">
        <v>34</v>
      </c>
      <c r="C61" s="2" t="s">
        <v>822</v>
      </c>
      <c r="D61" s="2" t="s">
        <v>1646</v>
      </c>
      <c r="E61" s="2" t="s">
        <v>1647</v>
      </c>
      <c r="F61" s="2" t="s">
        <v>1648</v>
      </c>
    </row>
    <row r="62" customFormat="false" ht="23.85" hidden="false" customHeight="false" outlineLevel="0" collapsed="false">
      <c r="A62" s="2" t="s">
        <v>781</v>
      </c>
      <c r="B62" s="2" t="s">
        <v>34</v>
      </c>
      <c r="C62" s="2" t="s">
        <v>1649</v>
      </c>
      <c r="D62" s="2" t="s">
        <v>1650</v>
      </c>
      <c r="E62" s="2" t="s">
        <v>1651</v>
      </c>
      <c r="F62" s="2" t="s">
        <v>1652</v>
      </c>
    </row>
    <row r="63" customFormat="false" ht="23.85" hidden="false" customHeight="false" outlineLevel="0" collapsed="false">
      <c r="A63" s="2" t="s">
        <v>781</v>
      </c>
      <c r="B63" s="2" t="s">
        <v>34</v>
      </c>
      <c r="C63" s="2" t="s">
        <v>790</v>
      </c>
      <c r="D63" s="2" t="s">
        <v>1653</v>
      </c>
      <c r="E63" s="2" t="s">
        <v>1654</v>
      </c>
      <c r="F63" s="2" t="s">
        <v>1655</v>
      </c>
    </row>
    <row r="64" customFormat="false" ht="23.85" hidden="false" customHeight="false" outlineLevel="0" collapsed="false">
      <c r="A64" s="2" t="s">
        <v>781</v>
      </c>
      <c r="B64" s="2" t="s">
        <v>34</v>
      </c>
      <c r="C64" s="2" t="s">
        <v>809</v>
      </c>
      <c r="D64" s="2" t="s">
        <v>1656</v>
      </c>
      <c r="E64" s="2" t="s">
        <v>1657</v>
      </c>
      <c r="F64" s="2" t="s">
        <v>1658</v>
      </c>
    </row>
    <row r="65" customFormat="false" ht="23.85" hidden="false" customHeight="false" outlineLevel="0" collapsed="false">
      <c r="A65" s="2" t="s">
        <v>618</v>
      </c>
      <c r="B65" s="2" t="s">
        <v>34</v>
      </c>
      <c r="C65" s="2" t="s">
        <v>1659</v>
      </c>
      <c r="D65" s="2" t="s">
        <v>1660</v>
      </c>
      <c r="E65" s="2" t="s">
        <v>1661</v>
      </c>
      <c r="F65" s="2" t="s">
        <v>1662</v>
      </c>
    </row>
    <row r="66" customFormat="false" ht="23.85" hidden="false" customHeight="false" outlineLevel="0" collapsed="false">
      <c r="A66" s="2" t="s">
        <v>618</v>
      </c>
      <c r="B66" s="2" t="s">
        <v>34</v>
      </c>
      <c r="C66" s="2" t="s">
        <v>1663</v>
      </c>
      <c r="D66" s="2" t="s">
        <v>1664</v>
      </c>
      <c r="E66" s="2" t="s">
        <v>1665</v>
      </c>
      <c r="F66" s="2" t="s">
        <v>1666</v>
      </c>
    </row>
    <row r="67" customFormat="false" ht="23.85" hidden="false" customHeight="false" outlineLevel="0" collapsed="false">
      <c r="A67" s="2" t="s">
        <v>618</v>
      </c>
      <c r="B67" s="2" t="s">
        <v>34</v>
      </c>
      <c r="C67" s="2" t="s">
        <v>959</v>
      </c>
      <c r="D67" s="2" t="s">
        <v>1667</v>
      </c>
      <c r="E67" s="2" t="s">
        <v>1668</v>
      </c>
      <c r="F67" s="2" t="s">
        <v>1669</v>
      </c>
    </row>
    <row r="68" customFormat="false" ht="35.05" hidden="false" customHeight="false" outlineLevel="0" collapsed="false">
      <c r="A68" s="2" t="s">
        <v>618</v>
      </c>
      <c r="B68" s="2" t="s">
        <v>34</v>
      </c>
      <c r="C68" s="2" t="s">
        <v>941</v>
      </c>
      <c r="D68" s="2" t="s">
        <v>1670</v>
      </c>
      <c r="E68" s="2" t="s">
        <v>942</v>
      </c>
      <c r="F68" s="2" t="s">
        <v>1671</v>
      </c>
    </row>
    <row r="69" customFormat="false" ht="23.85" hidden="false" customHeight="false" outlineLevel="0" collapsed="false">
      <c r="A69" s="2" t="s">
        <v>618</v>
      </c>
      <c r="B69" s="2" t="s">
        <v>34</v>
      </c>
      <c r="C69" s="2" t="s">
        <v>947</v>
      </c>
      <c r="D69" s="2" t="s">
        <v>1672</v>
      </c>
      <c r="E69" s="2" t="s">
        <v>1673</v>
      </c>
      <c r="F69" s="2" t="s">
        <v>1674</v>
      </c>
    </row>
    <row r="70" customFormat="false" ht="35.05" hidden="false" customHeight="false" outlineLevel="0" collapsed="false">
      <c r="A70" s="2" t="s">
        <v>618</v>
      </c>
      <c r="B70" s="2" t="s">
        <v>34</v>
      </c>
      <c r="C70" s="2" t="s">
        <v>994</v>
      </c>
      <c r="D70" s="2" t="s">
        <v>1675</v>
      </c>
      <c r="E70" s="2" t="s">
        <v>1676</v>
      </c>
      <c r="F70" s="2" t="s">
        <v>1677</v>
      </c>
    </row>
    <row r="71" customFormat="false" ht="79.85" hidden="false" customHeight="false" outlineLevel="0" collapsed="false">
      <c r="A71" s="2" t="s">
        <v>618</v>
      </c>
      <c r="B71" s="2" t="s">
        <v>34</v>
      </c>
      <c r="C71" s="2" t="s">
        <v>621</v>
      </c>
      <c r="D71" s="2" t="s">
        <v>1678</v>
      </c>
      <c r="E71" s="2" t="s">
        <v>1679</v>
      </c>
      <c r="F71" s="2" t="s">
        <v>1680</v>
      </c>
    </row>
    <row r="72" customFormat="false" ht="23.85" hidden="false" customHeight="false" outlineLevel="0" collapsed="false">
      <c r="A72" s="2" t="s">
        <v>618</v>
      </c>
      <c r="B72" s="2" t="s">
        <v>34</v>
      </c>
      <c r="C72" s="2" t="s">
        <v>983</v>
      </c>
      <c r="D72" s="2" t="s">
        <v>1681</v>
      </c>
      <c r="E72" s="2" t="s">
        <v>1682</v>
      </c>
      <c r="F72" s="2" t="s">
        <v>980</v>
      </c>
    </row>
    <row r="73" customFormat="false" ht="23.85" hidden="false" customHeight="false" outlineLevel="0" collapsed="false">
      <c r="A73" s="2" t="s">
        <v>1248</v>
      </c>
      <c r="B73" s="2" t="s">
        <v>35</v>
      </c>
      <c r="C73" s="2" t="s">
        <v>1683</v>
      </c>
      <c r="D73" s="2" t="s">
        <v>1684</v>
      </c>
      <c r="E73" s="2" t="s">
        <v>1245</v>
      </c>
      <c r="F73" s="2" t="s">
        <v>1240</v>
      </c>
    </row>
    <row r="74" customFormat="false" ht="23.85" hidden="false" customHeight="false" outlineLevel="0" collapsed="false">
      <c r="A74" s="2" t="s">
        <v>1248</v>
      </c>
      <c r="B74" s="2" t="s">
        <v>35</v>
      </c>
      <c r="C74" s="2" t="s">
        <v>1251</v>
      </c>
      <c r="D74" s="2" t="s">
        <v>1685</v>
      </c>
      <c r="E74" s="2" t="s">
        <v>1252</v>
      </c>
      <c r="F74" s="2" t="s">
        <v>1247</v>
      </c>
    </row>
    <row r="75" customFormat="false" ht="23.85" hidden="false" customHeight="false" outlineLevel="0" collapsed="false">
      <c r="A75" s="2" t="s">
        <v>1248</v>
      </c>
      <c r="B75" s="2" t="s">
        <v>35</v>
      </c>
      <c r="C75" s="2" t="s">
        <v>1257</v>
      </c>
      <c r="D75" s="2" t="s">
        <v>1686</v>
      </c>
      <c r="E75" s="2" t="s">
        <v>1687</v>
      </c>
      <c r="F75" s="2" t="s">
        <v>1688</v>
      </c>
    </row>
    <row r="76" customFormat="false" ht="23.85" hidden="false" customHeight="false" outlineLevel="0" collapsed="false">
      <c r="A76" s="2" t="s">
        <v>1248</v>
      </c>
      <c r="B76" s="2" t="s">
        <v>35</v>
      </c>
      <c r="C76" s="2" t="s">
        <v>1689</v>
      </c>
      <c r="D76" s="2" t="s">
        <v>1690</v>
      </c>
      <c r="E76" s="2" t="s">
        <v>1691</v>
      </c>
      <c r="F76" s="2" t="s">
        <v>1692</v>
      </c>
    </row>
    <row r="77" customFormat="false" ht="23.85" hidden="false" customHeight="false" outlineLevel="0" collapsed="false">
      <c r="A77" s="2" t="s">
        <v>1248</v>
      </c>
      <c r="B77" s="2" t="s">
        <v>35</v>
      </c>
      <c r="C77" s="2" t="s">
        <v>1269</v>
      </c>
      <c r="D77" s="2" t="s">
        <v>1693</v>
      </c>
      <c r="E77" s="2" t="s">
        <v>1694</v>
      </c>
      <c r="F77" s="2" t="s">
        <v>1695</v>
      </c>
    </row>
    <row r="78" customFormat="false" ht="23.85" hidden="false" customHeight="false" outlineLevel="0" collapsed="false">
      <c r="A78" s="2" t="s">
        <v>1248</v>
      </c>
      <c r="B78" s="2" t="s">
        <v>35</v>
      </c>
      <c r="C78" s="2" t="s">
        <v>1281</v>
      </c>
      <c r="D78" s="2" t="s">
        <v>1696</v>
      </c>
      <c r="E78" s="2" t="s">
        <v>1697</v>
      </c>
      <c r="F78" s="2" t="s">
        <v>1698</v>
      </c>
    </row>
    <row r="79" customFormat="false" ht="35.05" hidden="false" customHeight="false" outlineLevel="0" collapsed="false">
      <c r="A79" s="2" t="s">
        <v>1248</v>
      </c>
      <c r="B79" s="2" t="s">
        <v>35</v>
      </c>
      <c r="C79" s="2" t="s">
        <v>1306</v>
      </c>
      <c r="D79" s="2" t="s">
        <v>1699</v>
      </c>
      <c r="E79" s="2" t="s">
        <v>1700</v>
      </c>
      <c r="F79" s="2" t="s">
        <v>1701</v>
      </c>
    </row>
    <row r="80" customFormat="false" ht="57.45" hidden="false" customHeight="false" outlineLevel="0" collapsed="false">
      <c r="A80" s="2" t="s">
        <v>1248</v>
      </c>
      <c r="B80" s="2" t="s">
        <v>35</v>
      </c>
      <c r="C80" s="2" t="s">
        <v>1702</v>
      </c>
      <c r="D80" s="2" t="s">
        <v>1703</v>
      </c>
      <c r="E80" s="2" t="s">
        <v>1704</v>
      </c>
      <c r="F80" s="2" t="s">
        <v>1705</v>
      </c>
    </row>
    <row r="81" customFormat="false" ht="35.05" hidden="false" customHeight="false" outlineLevel="0" collapsed="false">
      <c r="A81" s="2" t="s">
        <v>1330</v>
      </c>
      <c r="B81" s="2" t="s">
        <v>35</v>
      </c>
      <c r="C81" s="2" t="s">
        <v>1333</v>
      </c>
      <c r="D81" s="2" t="s">
        <v>1706</v>
      </c>
      <c r="E81" s="2" t="s">
        <v>1707</v>
      </c>
      <c r="F81" s="2" t="s">
        <v>1708</v>
      </c>
    </row>
    <row r="82" customFormat="false" ht="35.05" hidden="false" customHeight="false" outlineLevel="0" collapsed="false">
      <c r="A82" s="2" t="s">
        <v>1330</v>
      </c>
      <c r="B82" s="2" t="s">
        <v>35</v>
      </c>
      <c r="C82" s="2" t="s">
        <v>1709</v>
      </c>
      <c r="D82" s="2" t="s">
        <v>1710</v>
      </c>
      <c r="E82" s="2" t="s">
        <v>1711</v>
      </c>
      <c r="F82" s="2" t="s">
        <v>1712</v>
      </c>
    </row>
    <row r="83" customFormat="false" ht="35.05" hidden="false" customHeight="false" outlineLevel="0" collapsed="false">
      <c r="A83" s="2" t="s">
        <v>1330</v>
      </c>
      <c r="B83" s="2" t="s">
        <v>35</v>
      </c>
      <c r="C83" s="2" t="s">
        <v>1345</v>
      </c>
      <c r="D83" s="2" t="s">
        <v>1713</v>
      </c>
      <c r="E83" s="2" t="s">
        <v>1714</v>
      </c>
      <c r="F83" s="2" t="s">
        <v>1715</v>
      </c>
    </row>
    <row r="84" customFormat="false" ht="35.05" hidden="false" customHeight="false" outlineLevel="0" collapsed="false">
      <c r="A84" s="2" t="s">
        <v>1330</v>
      </c>
      <c r="B84" s="2" t="s">
        <v>35</v>
      </c>
      <c r="C84" s="2" t="s">
        <v>1716</v>
      </c>
      <c r="D84" s="2" t="s">
        <v>1717</v>
      </c>
      <c r="E84" s="2" t="s">
        <v>1718</v>
      </c>
      <c r="F84" s="2" t="s">
        <v>1719</v>
      </c>
    </row>
    <row r="85" customFormat="false" ht="23.85" hidden="false" customHeight="false" outlineLevel="0" collapsed="false">
      <c r="A85" s="2" t="s">
        <v>1330</v>
      </c>
      <c r="B85" s="2" t="s">
        <v>35</v>
      </c>
      <c r="C85" s="2" t="s">
        <v>1375</v>
      </c>
      <c r="D85" s="2" t="s">
        <v>1720</v>
      </c>
      <c r="E85" s="2" t="s">
        <v>1381</v>
      </c>
      <c r="F85" s="2" t="s">
        <v>1721</v>
      </c>
    </row>
    <row r="86" customFormat="false" ht="23.85" hidden="false" customHeight="false" outlineLevel="0" collapsed="false">
      <c r="A86" s="2" t="s">
        <v>1330</v>
      </c>
      <c r="B86" s="2" t="s">
        <v>35</v>
      </c>
      <c r="C86" s="2" t="s">
        <v>1386</v>
      </c>
      <c r="D86" s="2" t="s">
        <v>1722</v>
      </c>
      <c r="E86" s="2" t="s">
        <v>1723</v>
      </c>
      <c r="F86" s="2" t="s">
        <v>1724</v>
      </c>
    </row>
    <row r="87" customFormat="false" ht="35.05" hidden="false" customHeight="false" outlineLevel="0" collapsed="false">
      <c r="A87" s="2" t="s">
        <v>1330</v>
      </c>
      <c r="B87" s="2" t="s">
        <v>35</v>
      </c>
      <c r="C87" s="2" t="s">
        <v>1725</v>
      </c>
      <c r="D87" s="2" t="s">
        <v>1726</v>
      </c>
      <c r="E87" s="2" t="s">
        <v>1400</v>
      </c>
      <c r="F87" s="2" t="s">
        <v>1395</v>
      </c>
    </row>
    <row r="88" customFormat="false" ht="35.05" hidden="false" customHeight="false" outlineLevel="0" collapsed="false">
      <c r="A88" s="2" t="s">
        <v>1330</v>
      </c>
      <c r="B88" s="2" t="s">
        <v>35</v>
      </c>
      <c r="C88" s="2" t="s">
        <v>1727</v>
      </c>
      <c r="D88" s="2" t="s">
        <v>1728</v>
      </c>
      <c r="E88" s="2" t="s">
        <v>1729</v>
      </c>
      <c r="F88" s="2" t="s">
        <v>1730</v>
      </c>
    </row>
    <row r="89" customFormat="false" ht="35.05" hidden="false" customHeight="false" outlineLevel="0" collapsed="false">
      <c r="A89" s="2" t="s">
        <v>1731</v>
      </c>
      <c r="B89" s="2" t="s">
        <v>35</v>
      </c>
      <c r="C89" s="2" t="s">
        <v>1732</v>
      </c>
      <c r="D89" s="2" t="s">
        <v>1733</v>
      </c>
      <c r="E89" s="2" t="s">
        <v>1734</v>
      </c>
      <c r="F89" s="2" t="s">
        <v>1735</v>
      </c>
    </row>
    <row r="90" customFormat="false" ht="35.05" hidden="false" customHeight="false" outlineLevel="0" collapsed="false">
      <c r="A90" s="2" t="s">
        <v>1731</v>
      </c>
      <c r="B90" s="2" t="s">
        <v>35</v>
      </c>
      <c r="C90" s="2" t="s">
        <v>1736</v>
      </c>
      <c r="D90" s="2" t="s">
        <v>1737</v>
      </c>
      <c r="E90" s="2" t="s">
        <v>1738</v>
      </c>
      <c r="F90" s="2" t="s">
        <v>1739</v>
      </c>
    </row>
    <row r="91" customFormat="false" ht="23.85" hidden="false" customHeight="false" outlineLevel="0" collapsed="false">
      <c r="A91" s="2" t="s">
        <v>1731</v>
      </c>
      <c r="B91" s="2" t="s">
        <v>35</v>
      </c>
      <c r="C91" s="2" t="s">
        <v>1740</v>
      </c>
      <c r="D91" s="2" t="s">
        <v>1741</v>
      </c>
      <c r="E91" s="2" t="s">
        <v>1742</v>
      </c>
      <c r="F91" s="2" t="s">
        <v>1743</v>
      </c>
    </row>
    <row r="92" customFormat="false" ht="35.05" hidden="false" customHeight="false" outlineLevel="0" collapsed="false">
      <c r="A92" s="2" t="s">
        <v>1731</v>
      </c>
      <c r="B92" s="2" t="s">
        <v>35</v>
      </c>
      <c r="C92" s="2" t="s">
        <v>1744</v>
      </c>
      <c r="D92" s="2" t="s">
        <v>1745</v>
      </c>
      <c r="E92" s="2" t="s">
        <v>1746</v>
      </c>
      <c r="F92" s="2" t="s">
        <v>1747</v>
      </c>
    </row>
    <row r="93" customFormat="false" ht="23.85" hidden="false" customHeight="false" outlineLevel="0" collapsed="false">
      <c r="A93" s="2" t="s">
        <v>1731</v>
      </c>
      <c r="B93" s="2" t="s">
        <v>35</v>
      </c>
      <c r="C93" s="2" t="s">
        <v>1748</v>
      </c>
      <c r="D93" s="2" t="s">
        <v>1749</v>
      </c>
      <c r="E93" s="2" t="s">
        <v>1750</v>
      </c>
      <c r="F93" s="2" t="s">
        <v>1751</v>
      </c>
    </row>
    <row r="94" customFormat="false" ht="35.05" hidden="false" customHeight="false" outlineLevel="0" collapsed="false">
      <c r="A94" s="2" t="s">
        <v>1731</v>
      </c>
      <c r="B94" s="2" t="s">
        <v>35</v>
      </c>
      <c r="C94" s="2" t="s">
        <v>1752</v>
      </c>
      <c r="D94" s="2" t="s">
        <v>1753</v>
      </c>
      <c r="E94" s="2" t="s">
        <v>1754</v>
      </c>
      <c r="F94" s="2" t="s">
        <v>1755</v>
      </c>
    </row>
    <row r="95" customFormat="false" ht="35.05" hidden="false" customHeight="false" outlineLevel="0" collapsed="false">
      <c r="A95" s="2" t="s">
        <v>1731</v>
      </c>
      <c r="B95" s="2" t="s">
        <v>35</v>
      </c>
      <c r="C95" s="2" t="s">
        <v>1756</v>
      </c>
      <c r="D95" s="2" t="s">
        <v>1757</v>
      </c>
      <c r="E95" s="2" t="s">
        <v>1758</v>
      </c>
      <c r="F95" s="2" t="s">
        <v>1759</v>
      </c>
    </row>
    <row r="96" customFormat="false" ht="46.25" hidden="false" customHeight="false" outlineLevel="0" collapsed="false">
      <c r="A96" s="2" t="s">
        <v>1731</v>
      </c>
      <c r="B96" s="2" t="s">
        <v>35</v>
      </c>
      <c r="C96" s="2" t="s">
        <v>1760</v>
      </c>
      <c r="D96" s="2" t="s">
        <v>1761</v>
      </c>
      <c r="E96" s="2" t="s">
        <v>1762</v>
      </c>
      <c r="F96" s="2" t="s">
        <v>1763</v>
      </c>
    </row>
    <row r="97" customFormat="false" ht="46.25" hidden="false" customHeight="false" outlineLevel="0" collapsed="false">
      <c r="A97" s="2" t="s">
        <v>1454</v>
      </c>
      <c r="B97" s="2" t="s">
        <v>35</v>
      </c>
      <c r="C97" s="2" t="s">
        <v>1764</v>
      </c>
      <c r="D97" s="2" t="s">
        <v>1765</v>
      </c>
      <c r="E97" s="2" t="s">
        <v>1766</v>
      </c>
      <c r="F97" s="2" t="s">
        <v>1767</v>
      </c>
    </row>
    <row r="98" customFormat="false" ht="23.85" hidden="false" customHeight="false" outlineLevel="0" collapsed="false">
      <c r="A98" s="2" t="s">
        <v>1454</v>
      </c>
      <c r="B98" s="2" t="s">
        <v>35</v>
      </c>
      <c r="C98" s="2" t="s">
        <v>1768</v>
      </c>
      <c r="D98" s="2" t="s">
        <v>1769</v>
      </c>
      <c r="E98" s="2" t="s">
        <v>1770</v>
      </c>
      <c r="F98" s="2" t="s">
        <v>1771</v>
      </c>
    </row>
    <row r="99" customFormat="false" ht="23.85" hidden="false" customHeight="false" outlineLevel="0" collapsed="false">
      <c r="A99" s="2" t="s">
        <v>1454</v>
      </c>
      <c r="B99" s="2" t="s">
        <v>35</v>
      </c>
      <c r="C99" s="2" t="s">
        <v>1772</v>
      </c>
      <c r="D99" s="2" t="s">
        <v>1773</v>
      </c>
      <c r="E99" s="2" t="s">
        <v>1774</v>
      </c>
      <c r="F99" s="2" t="s">
        <v>1775</v>
      </c>
    </row>
    <row r="100" customFormat="false" ht="35.05" hidden="false" customHeight="false" outlineLevel="0" collapsed="false">
      <c r="A100" s="2" t="s">
        <v>1454</v>
      </c>
      <c r="B100" s="2" t="s">
        <v>35</v>
      </c>
      <c r="C100" s="2" t="s">
        <v>1776</v>
      </c>
      <c r="D100" s="2" t="s">
        <v>1777</v>
      </c>
      <c r="E100" s="2" t="s">
        <v>1778</v>
      </c>
      <c r="F100" s="2" t="s">
        <v>1779</v>
      </c>
    </row>
    <row r="101" customFormat="false" ht="23.85" hidden="false" customHeight="false" outlineLevel="0" collapsed="false">
      <c r="A101" s="2" t="s">
        <v>1454</v>
      </c>
      <c r="B101" s="2" t="s">
        <v>35</v>
      </c>
      <c r="C101" s="2" t="s">
        <v>1780</v>
      </c>
      <c r="D101" s="2" t="s">
        <v>1781</v>
      </c>
      <c r="E101" s="2" t="s">
        <v>1782</v>
      </c>
      <c r="F101" s="2" t="s">
        <v>1783</v>
      </c>
    </row>
    <row r="102" customFormat="false" ht="35.05" hidden="false" customHeight="false" outlineLevel="0" collapsed="false">
      <c r="A102" s="2" t="s">
        <v>1454</v>
      </c>
      <c r="B102" s="2" t="s">
        <v>35</v>
      </c>
      <c r="C102" s="2" t="s">
        <v>1784</v>
      </c>
      <c r="D102" s="2" t="s">
        <v>1785</v>
      </c>
      <c r="E102" s="2" t="s">
        <v>1786</v>
      </c>
      <c r="F102" s="2" t="s">
        <v>1787</v>
      </c>
    </row>
    <row r="103" customFormat="false" ht="35.05" hidden="false" customHeight="false" outlineLevel="0" collapsed="false">
      <c r="A103" s="2" t="s">
        <v>1454</v>
      </c>
      <c r="B103" s="2" t="s">
        <v>35</v>
      </c>
      <c r="C103" s="2" t="s">
        <v>1788</v>
      </c>
      <c r="D103" s="2" t="s">
        <v>1789</v>
      </c>
      <c r="E103" s="2" t="s">
        <v>1790</v>
      </c>
      <c r="F103" s="2" t="s">
        <v>1791</v>
      </c>
    </row>
    <row r="104" customFormat="false" ht="23.85" hidden="false" customHeight="false" outlineLevel="0" collapsed="false">
      <c r="A104" s="2" t="s">
        <v>1454</v>
      </c>
      <c r="B104" s="2" t="s">
        <v>35</v>
      </c>
      <c r="C104" s="2" t="s">
        <v>1792</v>
      </c>
      <c r="D104" s="2" t="s">
        <v>1793</v>
      </c>
      <c r="E104" s="2" t="s">
        <v>1794</v>
      </c>
      <c r="F104" s="2" t="s">
        <v>1057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30"/>
    <col collapsed="false" customWidth="true" hidden="false" outlineLevel="0" max="4" min="4" style="0" width="10"/>
    <col collapsed="false" customWidth="true" hidden="false" outlineLevel="0" max="5" min="5" style="0" width="55"/>
    <col collapsed="false" customWidth="true" hidden="false" outlineLevel="0" max="6" min="6" style="0" width="60"/>
  </cols>
  <sheetData>
    <row r="1" customFormat="false" ht="15" hidden="false" customHeight="false" outlineLevel="0" collapsed="false">
      <c r="A1" s="10" t="s">
        <v>1795</v>
      </c>
      <c r="B1" s="10" t="s">
        <v>1796</v>
      </c>
      <c r="C1" s="10" t="s">
        <v>1797</v>
      </c>
      <c r="D1" s="10" t="s">
        <v>105</v>
      </c>
      <c r="E1" s="10" t="s">
        <v>1798</v>
      </c>
      <c r="F1" s="10" t="s">
        <v>1799</v>
      </c>
    </row>
    <row r="2" customFormat="false" ht="23.85" hidden="false" customHeight="false" outlineLevel="0" collapsed="false">
      <c r="A2" s="2" t="s">
        <v>1800</v>
      </c>
      <c r="B2" s="2" t="s">
        <v>1801</v>
      </c>
      <c r="C2" s="2" t="s">
        <v>1802</v>
      </c>
      <c r="D2" s="2" t="s">
        <v>1803</v>
      </c>
      <c r="E2" s="2" t="s">
        <v>1804</v>
      </c>
      <c r="F2" s="2" t="s">
        <v>1805</v>
      </c>
    </row>
    <row r="3" customFormat="false" ht="23.85" hidden="false" customHeight="false" outlineLevel="0" collapsed="false">
      <c r="A3" s="2" t="s">
        <v>1806</v>
      </c>
      <c r="B3" s="2" t="s">
        <v>1807</v>
      </c>
      <c r="C3" s="2" t="s">
        <v>1808</v>
      </c>
      <c r="D3" s="2" t="s">
        <v>1809</v>
      </c>
      <c r="E3" s="2" t="s">
        <v>1810</v>
      </c>
      <c r="F3" s="2" t="s">
        <v>1811</v>
      </c>
    </row>
    <row r="4" customFormat="false" ht="35.05" hidden="false" customHeight="false" outlineLevel="0" collapsed="false">
      <c r="A4" s="2" t="s">
        <v>1812</v>
      </c>
      <c r="B4" s="2" t="s">
        <v>1813</v>
      </c>
      <c r="C4" s="2" t="s">
        <v>1814</v>
      </c>
      <c r="D4" s="2" t="s">
        <v>1815</v>
      </c>
      <c r="E4" s="2" t="s">
        <v>1816</v>
      </c>
      <c r="F4" s="2" t="s">
        <v>1817</v>
      </c>
    </row>
    <row r="5" customFormat="false" ht="23.85" hidden="false" customHeight="false" outlineLevel="0" collapsed="false">
      <c r="A5" s="2" t="s">
        <v>1812</v>
      </c>
      <c r="B5" s="2" t="s">
        <v>1818</v>
      </c>
      <c r="C5" s="2" t="s">
        <v>1819</v>
      </c>
      <c r="D5" s="2" t="s">
        <v>1820</v>
      </c>
      <c r="E5" s="2" t="s">
        <v>1821</v>
      </c>
      <c r="F5" s="2" t="s">
        <v>1822</v>
      </c>
    </row>
    <row r="6" customFormat="false" ht="23.85" hidden="false" customHeight="false" outlineLevel="0" collapsed="false">
      <c r="A6" s="2" t="s">
        <v>1823</v>
      </c>
      <c r="B6" s="2" t="s">
        <v>1824</v>
      </c>
      <c r="C6" s="2" t="s">
        <v>1825</v>
      </c>
      <c r="D6" s="2" t="s">
        <v>1454</v>
      </c>
      <c r="E6" s="2" t="s">
        <v>1826</v>
      </c>
      <c r="F6" s="2" t="s">
        <v>1827</v>
      </c>
    </row>
    <row r="7" customFormat="false" ht="35.05" hidden="false" customHeight="false" outlineLevel="0" collapsed="false">
      <c r="A7" s="2" t="s">
        <v>1828</v>
      </c>
      <c r="B7" s="2" t="s">
        <v>1829</v>
      </c>
      <c r="C7" s="2" t="s">
        <v>1830</v>
      </c>
      <c r="D7" s="2" t="s">
        <v>1831</v>
      </c>
      <c r="E7" s="2" t="s">
        <v>1832</v>
      </c>
      <c r="F7" s="2" t="s">
        <v>1833</v>
      </c>
    </row>
    <row r="8" customFormat="false" ht="23.85" hidden="false" customHeight="false" outlineLevel="0" collapsed="false">
      <c r="A8" s="2" t="s">
        <v>1828</v>
      </c>
      <c r="B8" s="2" t="s">
        <v>1834</v>
      </c>
      <c r="C8" s="2" t="s">
        <v>1835</v>
      </c>
      <c r="D8" s="2" t="s">
        <v>1836</v>
      </c>
      <c r="E8" s="2" t="s">
        <v>1837</v>
      </c>
      <c r="F8" s="2" t="s">
        <v>1838</v>
      </c>
    </row>
    <row r="9" customFormat="false" ht="23.85" hidden="false" customHeight="false" outlineLevel="0" collapsed="false">
      <c r="A9" s="2" t="s">
        <v>1839</v>
      </c>
      <c r="B9" s="2" t="s">
        <v>1840</v>
      </c>
      <c r="C9" s="2" t="s">
        <v>1841</v>
      </c>
      <c r="D9" s="2" t="s">
        <v>1842</v>
      </c>
      <c r="E9" s="2" t="s">
        <v>1843</v>
      </c>
      <c r="F9" s="2" t="s">
        <v>1844</v>
      </c>
    </row>
    <row r="10" customFormat="false" ht="23.85" hidden="false" customHeight="false" outlineLevel="0" collapsed="false">
      <c r="A10" s="2" t="s">
        <v>1845</v>
      </c>
      <c r="B10" s="2" t="s">
        <v>1846</v>
      </c>
      <c r="C10" s="2" t="s">
        <v>1847</v>
      </c>
      <c r="D10" s="2" t="s">
        <v>1848</v>
      </c>
      <c r="E10" s="2" t="s">
        <v>1849</v>
      </c>
      <c r="F10" s="2" t="s">
        <v>1850</v>
      </c>
    </row>
    <row r="11" customFormat="false" ht="15" hidden="false" customHeight="false" outlineLevel="0" collapsed="false">
      <c r="A11" s="2" t="s">
        <v>1845</v>
      </c>
      <c r="B11" s="2" t="s">
        <v>1851</v>
      </c>
      <c r="C11" s="2" t="s">
        <v>1852</v>
      </c>
      <c r="D11" s="2" t="s">
        <v>1848</v>
      </c>
      <c r="E11" s="2" t="s">
        <v>1853</v>
      </c>
      <c r="F11" s="2" t="s">
        <v>1854</v>
      </c>
    </row>
    <row r="12" customFormat="false" ht="23.85" hidden="false" customHeight="false" outlineLevel="0" collapsed="false">
      <c r="A12" s="2" t="s">
        <v>1845</v>
      </c>
      <c r="B12" s="2" t="s">
        <v>1855</v>
      </c>
      <c r="C12" s="2" t="s">
        <v>1856</v>
      </c>
      <c r="D12" s="2" t="s">
        <v>1809</v>
      </c>
      <c r="E12" s="2" t="s">
        <v>1857</v>
      </c>
      <c r="F12" s="2" t="s">
        <v>1858</v>
      </c>
    </row>
    <row r="13" customFormat="false" ht="15" hidden="false" customHeight="false" outlineLevel="0" collapsed="false">
      <c r="A13" s="2" t="s">
        <v>1859</v>
      </c>
      <c r="B13" s="2" t="s">
        <v>1860</v>
      </c>
      <c r="C13" s="2" t="s">
        <v>1861</v>
      </c>
      <c r="D13" s="2" t="s">
        <v>1861</v>
      </c>
      <c r="E13" s="2" t="s">
        <v>1862</v>
      </c>
      <c r="F13" s="2" t="s">
        <v>1863</v>
      </c>
    </row>
    <row r="14" customFormat="false" ht="23.85" hidden="false" customHeight="false" outlineLevel="0" collapsed="false">
      <c r="A14" s="2" t="s">
        <v>1859</v>
      </c>
      <c r="B14" s="2" t="s">
        <v>1864</v>
      </c>
      <c r="C14" s="2" t="s">
        <v>1861</v>
      </c>
      <c r="D14" s="2" t="s">
        <v>1861</v>
      </c>
      <c r="E14" s="2" t="s">
        <v>1865</v>
      </c>
      <c r="F14" s="2" t="s">
        <v>1866</v>
      </c>
    </row>
    <row r="15" customFormat="false" ht="15" hidden="false" customHeight="false" outlineLevel="0" collapsed="false">
      <c r="A15" s="2" t="s">
        <v>1859</v>
      </c>
      <c r="B15" s="2" t="s">
        <v>1867</v>
      </c>
      <c r="C15" s="2" t="s">
        <v>1861</v>
      </c>
      <c r="D15" s="2" t="s">
        <v>1861</v>
      </c>
      <c r="E15" s="2" t="s">
        <v>1868</v>
      </c>
      <c r="F15" s="2" t="s">
        <v>1869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6"/>
    <col collapsed="false" customWidth="true" hidden="false" outlineLevel="0" max="4" min="4" style="0" width="7"/>
    <col collapsed="false" customWidth="true" hidden="false" outlineLevel="0" max="5" min="5" style="0" width="10"/>
    <col collapsed="false" customWidth="true" hidden="false" outlineLevel="0" max="6" min="6" style="0" width="40"/>
    <col collapsed="false" customWidth="true" hidden="false" outlineLevel="0" max="7" min="7" style="0" width="30"/>
    <col collapsed="false" customWidth="true" hidden="false" outlineLevel="0" max="8" min="8" style="0" width="26"/>
    <col collapsed="false" customWidth="true" hidden="false" outlineLevel="0" max="9" min="9" style="0" width="11"/>
    <col collapsed="false" customWidth="true" hidden="false" outlineLevel="0" max="10" min="10" style="0" width="26"/>
  </cols>
  <sheetData>
    <row r="1" customFormat="false" ht="15" hidden="false" customHeight="false" outlineLevel="0" collapsed="false">
      <c r="A1" s="10" t="s">
        <v>1870</v>
      </c>
      <c r="B1" s="10" t="s">
        <v>106</v>
      </c>
      <c r="C1" s="10" t="s">
        <v>1871</v>
      </c>
      <c r="D1" s="10" t="s">
        <v>38</v>
      </c>
      <c r="E1" s="10" t="s">
        <v>26</v>
      </c>
      <c r="F1" s="10" t="s">
        <v>1872</v>
      </c>
      <c r="G1" s="10" t="s">
        <v>1873</v>
      </c>
      <c r="H1" s="10" t="s">
        <v>1874</v>
      </c>
      <c r="I1" s="10" t="s">
        <v>1875</v>
      </c>
      <c r="J1" s="10" t="s">
        <v>1876</v>
      </c>
    </row>
    <row r="2" customFormat="false" ht="15" hidden="false" customHeight="false" outlineLevel="0" collapsed="false">
      <c r="A2" s="2" t="s">
        <v>1877</v>
      </c>
      <c r="B2" s="2" t="s">
        <v>1878</v>
      </c>
      <c r="C2" s="2" t="n">
        <v>1</v>
      </c>
      <c r="D2" s="2" t="s">
        <v>1879</v>
      </c>
      <c r="E2" s="2" t="s">
        <v>33</v>
      </c>
      <c r="F2" s="2" t="s">
        <v>1880</v>
      </c>
      <c r="G2" s="2" t="s">
        <v>1881</v>
      </c>
      <c r="H2" s="2" t="s">
        <v>1882</v>
      </c>
      <c r="I2" s="2" t="s">
        <v>353</v>
      </c>
      <c r="J2" s="2" t="s">
        <v>360</v>
      </c>
    </row>
    <row r="3" customFormat="false" ht="15" hidden="false" customHeight="false" outlineLevel="0" collapsed="false">
      <c r="A3" s="2" t="s">
        <v>1883</v>
      </c>
      <c r="B3" s="2" t="s">
        <v>1878</v>
      </c>
      <c r="C3" s="2" t="n">
        <v>2</v>
      </c>
      <c r="D3" s="2" t="s">
        <v>1884</v>
      </c>
      <c r="E3" s="2" t="s">
        <v>34</v>
      </c>
      <c r="F3" s="2" t="s">
        <v>1885</v>
      </c>
      <c r="G3" s="2" t="s">
        <v>1881</v>
      </c>
      <c r="H3" s="2" t="s">
        <v>1882</v>
      </c>
      <c r="I3" s="2" t="s">
        <v>997</v>
      </c>
      <c r="J3" s="2" t="s">
        <v>360</v>
      </c>
    </row>
    <row r="4" customFormat="false" ht="15" hidden="false" customHeight="false" outlineLevel="0" collapsed="false">
      <c r="A4" s="2" t="s">
        <v>1886</v>
      </c>
      <c r="B4" s="2" t="s">
        <v>1878</v>
      </c>
      <c r="C4" s="2" t="n">
        <v>3</v>
      </c>
      <c r="D4" s="2" t="s">
        <v>1887</v>
      </c>
      <c r="E4" s="2" t="s">
        <v>35</v>
      </c>
      <c r="F4" s="2" t="s">
        <v>1888</v>
      </c>
      <c r="G4" s="2" t="s">
        <v>1881</v>
      </c>
      <c r="H4" s="2" t="s">
        <v>1882</v>
      </c>
      <c r="I4" s="2" t="s">
        <v>1037</v>
      </c>
      <c r="J4" s="2" t="s">
        <v>360</v>
      </c>
    </row>
    <row r="5" customFormat="false" ht="15" hidden="false" customHeight="false" outlineLevel="0" collapsed="false">
      <c r="A5" s="2" t="s">
        <v>1889</v>
      </c>
      <c r="B5" s="2" t="s">
        <v>1878</v>
      </c>
      <c r="C5" s="2" t="n">
        <v>4</v>
      </c>
      <c r="D5" s="2" t="s">
        <v>1887</v>
      </c>
      <c r="E5" s="2" t="s">
        <v>35</v>
      </c>
      <c r="F5" s="2" t="s">
        <v>1890</v>
      </c>
      <c r="G5" s="2" t="s">
        <v>1881</v>
      </c>
      <c r="H5" s="2" t="s">
        <v>1882</v>
      </c>
      <c r="I5" s="2" t="s">
        <v>1037</v>
      </c>
      <c r="J5" s="2" t="s">
        <v>360</v>
      </c>
    </row>
    <row r="6" customFormat="false" ht="15" hidden="false" customHeight="false" outlineLevel="0" collapsed="false">
      <c r="A6" s="2" t="s">
        <v>1891</v>
      </c>
      <c r="B6" s="2" t="s">
        <v>1878</v>
      </c>
      <c r="C6" s="2" t="n">
        <v>5</v>
      </c>
      <c r="D6" s="2" t="s">
        <v>1892</v>
      </c>
      <c r="E6" s="2" t="s">
        <v>35</v>
      </c>
      <c r="F6" s="2" t="s">
        <v>1893</v>
      </c>
      <c r="G6" s="2" t="s">
        <v>1881</v>
      </c>
      <c r="H6" s="2" t="s">
        <v>1882</v>
      </c>
      <c r="I6" s="2" t="s">
        <v>1037</v>
      </c>
      <c r="J6" s="2" t="s">
        <v>360</v>
      </c>
    </row>
    <row r="7" customFormat="false" ht="15" hidden="false" customHeight="false" outlineLevel="0" collapsed="false">
      <c r="A7" s="2" t="s">
        <v>1894</v>
      </c>
      <c r="B7" s="2" t="s">
        <v>1895</v>
      </c>
      <c r="C7" s="2" t="n">
        <v>1</v>
      </c>
      <c r="D7" s="2" t="s">
        <v>1879</v>
      </c>
      <c r="E7" s="2" t="s">
        <v>33</v>
      </c>
      <c r="F7" s="2" t="s">
        <v>1896</v>
      </c>
      <c r="G7" s="2" t="s">
        <v>1881</v>
      </c>
      <c r="H7" s="2" t="s">
        <v>1897</v>
      </c>
      <c r="I7" s="2" t="s">
        <v>362</v>
      </c>
      <c r="J7" s="2" t="s">
        <v>1898</v>
      </c>
    </row>
    <row r="8" customFormat="false" ht="15" hidden="false" customHeight="false" outlineLevel="0" collapsed="false">
      <c r="A8" s="2" t="s">
        <v>1899</v>
      </c>
      <c r="B8" s="2" t="s">
        <v>1895</v>
      </c>
      <c r="C8" s="2" t="n">
        <v>2</v>
      </c>
      <c r="D8" s="2" t="s">
        <v>1884</v>
      </c>
      <c r="E8" s="2" t="s">
        <v>34</v>
      </c>
      <c r="F8" s="2" t="s">
        <v>1900</v>
      </c>
      <c r="G8" s="2" t="s">
        <v>1881</v>
      </c>
      <c r="H8" s="2" t="s">
        <v>1897</v>
      </c>
      <c r="I8" s="2" t="s">
        <v>997</v>
      </c>
      <c r="J8" s="2" t="s">
        <v>1898</v>
      </c>
    </row>
    <row r="9" customFormat="false" ht="15" hidden="false" customHeight="false" outlineLevel="0" collapsed="false">
      <c r="A9" s="2" t="s">
        <v>1901</v>
      </c>
      <c r="B9" s="2" t="s">
        <v>1895</v>
      </c>
      <c r="C9" s="2" t="n">
        <v>3</v>
      </c>
      <c r="D9" s="2" t="s">
        <v>1887</v>
      </c>
      <c r="E9" s="2" t="s">
        <v>35</v>
      </c>
      <c r="F9" s="2" t="s">
        <v>1902</v>
      </c>
      <c r="G9" s="2" t="s">
        <v>1881</v>
      </c>
      <c r="H9" s="2" t="s">
        <v>1897</v>
      </c>
      <c r="I9" s="2" t="s">
        <v>1037</v>
      </c>
      <c r="J9" s="2" t="s">
        <v>1898</v>
      </c>
    </row>
    <row r="10" customFormat="false" ht="15" hidden="false" customHeight="false" outlineLevel="0" collapsed="false">
      <c r="A10" s="2" t="s">
        <v>1903</v>
      </c>
      <c r="B10" s="2" t="s">
        <v>1895</v>
      </c>
      <c r="C10" s="2" t="n">
        <v>4</v>
      </c>
      <c r="D10" s="2" t="s">
        <v>1887</v>
      </c>
      <c r="E10" s="2" t="s">
        <v>35</v>
      </c>
      <c r="F10" s="2" t="s">
        <v>1904</v>
      </c>
      <c r="G10" s="2" t="s">
        <v>1881</v>
      </c>
      <c r="H10" s="2" t="s">
        <v>1897</v>
      </c>
      <c r="I10" s="2" t="s">
        <v>1037</v>
      </c>
      <c r="J10" s="2" t="s">
        <v>1898</v>
      </c>
    </row>
    <row r="11" customFormat="false" ht="15" hidden="false" customHeight="false" outlineLevel="0" collapsed="false">
      <c r="A11" s="2" t="s">
        <v>1905</v>
      </c>
      <c r="B11" s="2" t="s">
        <v>1895</v>
      </c>
      <c r="C11" s="2" t="n">
        <v>5</v>
      </c>
      <c r="D11" s="2" t="s">
        <v>1892</v>
      </c>
      <c r="E11" s="2" t="s">
        <v>35</v>
      </c>
      <c r="F11" s="2" t="s">
        <v>1906</v>
      </c>
      <c r="G11" s="2" t="s">
        <v>1881</v>
      </c>
      <c r="H11" s="2" t="s">
        <v>1897</v>
      </c>
      <c r="I11" s="2" t="s">
        <v>1037</v>
      </c>
      <c r="J11" s="2" t="s">
        <v>1898</v>
      </c>
    </row>
    <row r="12" customFormat="false" ht="15" hidden="false" customHeight="false" outlineLevel="0" collapsed="false">
      <c r="A12" s="2" t="s">
        <v>1907</v>
      </c>
      <c r="B12" s="2" t="s">
        <v>1908</v>
      </c>
      <c r="C12" s="2" t="n">
        <v>1</v>
      </c>
      <c r="D12" s="2" t="s">
        <v>1879</v>
      </c>
      <c r="E12" s="2" t="s">
        <v>33</v>
      </c>
      <c r="F12" s="2" t="s">
        <v>1909</v>
      </c>
      <c r="G12" s="2" t="s">
        <v>1910</v>
      </c>
      <c r="H12" s="2" t="s">
        <v>1911</v>
      </c>
      <c r="I12" s="2" t="s">
        <v>362</v>
      </c>
      <c r="J12" s="2" t="s">
        <v>1912</v>
      </c>
    </row>
    <row r="13" customFormat="false" ht="15" hidden="false" customHeight="false" outlineLevel="0" collapsed="false">
      <c r="A13" s="2" t="s">
        <v>1913</v>
      </c>
      <c r="B13" s="2" t="s">
        <v>1908</v>
      </c>
      <c r="C13" s="2" t="n">
        <v>2</v>
      </c>
      <c r="D13" s="2" t="s">
        <v>1884</v>
      </c>
      <c r="E13" s="2" t="s">
        <v>34</v>
      </c>
      <c r="F13" s="2" t="s">
        <v>1914</v>
      </c>
      <c r="G13" s="2" t="s">
        <v>1910</v>
      </c>
      <c r="H13" s="2" t="s">
        <v>1911</v>
      </c>
      <c r="I13" s="2" t="s">
        <v>997</v>
      </c>
      <c r="J13" s="2" t="s">
        <v>1912</v>
      </c>
    </row>
    <row r="14" customFormat="false" ht="15" hidden="false" customHeight="false" outlineLevel="0" collapsed="false">
      <c r="A14" s="2" t="s">
        <v>1915</v>
      </c>
      <c r="B14" s="2" t="s">
        <v>1908</v>
      </c>
      <c r="C14" s="2" t="n">
        <v>3</v>
      </c>
      <c r="D14" s="2" t="s">
        <v>1887</v>
      </c>
      <c r="E14" s="2" t="s">
        <v>35</v>
      </c>
      <c r="F14" s="2" t="s">
        <v>1916</v>
      </c>
      <c r="G14" s="2" t="s">
        <v>1910</v>
      </c>
      <c r="H14" s="2" t="s">
        <v>1911</v>
      </c>
      <c r="I14" s="2" t="s">
        <v>1037</v>
      </c>
      <c r="J14" s="2" t="s">
        <v>1912</v>
      </c>
    </row>
    <row r="15" customFormat="false" ht="15" hidden="false" customHeight="false" outlineLevel="0" collapsed="false">
      <c r="A15" s="2" t="s">
        <v>1917</v>
      </c>
      <c r="B15" s="2" t="s">
        <v>1908</v>
      </c>
      <c r="C15" s="2" t="n">
        <v>4</v>
      </c>
      <c r="D15" s="2" t="s">
        <v>1887</v>
      </c>
      <c r="E15" s="2" t="s">
        <v>35</v>
      </c>
      <c r="F15" s="2" t="s">
        <v>1918</v>
      </c>
      <c r="G15" s="2" t="s">
        <v>1910</v>
      </c>
      <c r="H15" s="2" t="s">
        <v>1911</v>
      </c>
      <c r="I15" s="2" t="s">
        <v>1037</v>
      </c>
      <c r="J15" s="2" t="s">
        <v>1912</v>
      </c>
    </row>
    <row r="16" customFormat="false" ht="15" hidden="false" customHeight="false" outlineLevel="0" collapsed="false">
      <c r="A16" s="2" t="s">
        <v>1919</v>
      </c>
      <c r="B16" s="2" t="s">
        <v>1908</v>
      </c>
      <c r="C16" s="2" t="n">
        <v>5</v>
      </c>
      <c r="D16" s="2" t="s">
        <v>1892</v>
      </c>
      <c r="E16" s="2" t="s">
        <v>35</v>
      </c>
      <c r="F16" s="2" t="s">
        <v>1920</v>
      </c>
      <c r="G16" s="2" t="s">
        <v>1910</v>
      </c>
      <c r="H16" s="2" t="s">
        <v>1911</v>
      </c>
      <c r="I16" s="2" t="s">
        <v>1037</v>
      </c>
      <c r="J16" s="2" t="s">
        <v>1912</v>
      </c>
    </row>
    <row r="17" customFormat="false" ht="15" hidden="false" customHeight="false" outlineLevel="0" collapsed="false">
      <c r="A17" s="2" t="s">
        <v>1921</v>
      </c>
      <c r="B17" s="2" t="s">
        <v>1922</v>
      </c>
      <c r="C17" s="2" t="n">
        <v>1</v>
      </c>
      <c r="D17" s="2" t="s">
        <v>1879</v>
      </c>
      <c r="E17" s="2" t="s">
        <v>33</v>
      </c>
      <c r="F17" s="2" t="s">
        <v>1923</v>
      </c>
      <c r="G17" s="2" t="s">
        <v>1924</v>
      </c>
      <c r="H17" s="2" t="s">
        <v>1925</v>
      </c>
      <c r="I17" s="2" t="s">
        <v>406</v>
      </c>
      <c r="J17" s="2" t="s">
        <v>411</v>
      </c>
    </row>
    <row r="18" customFormat="false" ht="15" hidden="false" customHeight="false" outlineLevel="0" collapsed="false">
      <c r="A18" s="2" t="s">
        <v>1926</v>
      </c>
      <c r="B18" s="2" t="s">
        <v>1922</v>
      </c>
      <c r="C18" s="2" t="n">
        <v>2</v>
      </c>
      <c r="D18" s="2" t="s">
        <v>1884</v>
      </c>
      <c r="E18" s="2" t="s">
        <v>34</v>
      </c>
      <c r="F18" s="2" t="s">
        <v>1927</v>
      </c>
      <c r="G18" s="2" t="s">
        <v>1924</v>
      </c>
      <c r="H18" s="2" t="s">
        <v>1925</v>
      </c>
      <c r="I18" s="2" t="s">
        <v>997</v>
      </c>
      <c r="J18" s="2" t="s">
        <v>411</v>
      </c>
    </row>
    <row r="19" customFormat="false" ht="15" hidden="false" customHeight="false" outlineLevel="0" collapsed="false">
      <c r="A19" s="2" t="s">
        <v>1928</v>
      </c>
      <c r="B19" s="2" t="s">
        <v>1922</v>
      </c>
      <c r="C19" s="2" t="n">
        <v>3</v>
      </c>
      <c r="D19" s="2" t="s">
        <v>1887</v>
      </c>
      <c r="E19" s="2" t="s">
        <v>35</v>
      </c>
      <c r="F19" s="2" t="s">
        <v>1929</v>
      </c>
      <c r="G19" s="2" t="s">
        <v>1924</v>
      </c>
      <c r="H19" s="2" t="s">
        <v>1925</v>
      </c>
      <c r="I19" s="2" t="s">
        <v>1037</v>
      </c>
      <c r="J19" s="2" t="s">
        <v>411</v>
      </c>
    </row>
    <row r="20" customFormat="false" ht="15" hidden="false" customHeight="false" outlineLevel="0" collapsed="false">
      <c r="A20" s="2" t="s">
        <v>1930</v>
      </c>
      <c r="B20" s="2" t="s">
        <v>1922</v>
      </c>
      <c r="C20" s="2" t="n">
        <v>4</v>
      </c>
      <c r="D20" s="2" t="s">
        <v>1887</v>
      </c>
      <c r="E20" s="2" t="s">
        <v>35</v>
      </c>
      <c r="F20" s="2" t="s">
        <v>1931</v>
      </c>
      <c r="G20" s="2" t="s">
        <v>1924</v>
      </c>
      <c r="H20" s="2" t="s">
        <v>1925</v>
      </c>
      <c r="I20" s="2" t="s">
        <v>1037</v>
      </c>
      <c r="J20" s="2" t="s">
        <v>411</v>
      </c>
    </row>
    <row r="21" customFormat="false" ht="15" hidden="false" customHeight="false" outlineLevel="0" collapsed="false">
      <c r="A21" s="2" t="s">
        <v>1932</v>
      </c>
      <c r="B21" s="2" t="s">
        <v>1922</v>
      </c>
      <c r="C21" s="2" t="n">
        <v>5</v>
      </c>
      <c r="D21" s="2" t="s">
        <v>1892</v>
      </c>
      <c r="E21" s="2" t="s">
        <v>35</v>
      </c>
      <c r="F21" s="2" t="s">
        <v>1933</v>
      </c>
      <c r="G21" s="2" t="s">
        <v>1924</v>
      </c>
      <c r="H21" s="2" t="s">
        <v>1925</v>
      </c>
      <c r="I21" s="2" t="s">
        <v>1037</v>
      </c>
      <c r="J21" s="2" t="s">
        <v>411</v>
      </c>
    </row>
    <row r="22" customFormat="false" ht="15" hidden="false" customHeight="false" outlineLevel="0" collapsed="false">
      <c r="A22" s="2" t="s">
        <v>1934</v>
      </c>
      <c r="B22" s="2" t="s">
        <v>1935</v>
      </c>
      <c r="C22" s="2" t="n">
        <v>1</v>
      </c>
      <c r="D22" s="2" t="s">
        <v>1879</v>
      </c>
      <c r="E22" s="2" t="s">
        <v>33</v>
      </c>
      <c r="F22" s="2" t="s">
        <v>1936</v>
      </c>
      <c r="G22" s="2" t="s">
        <v>1937</v>
      </c>
      <c r="H22" s="2" t="s">
        <v>1935</v>
      </c>
      <c r="I22" s="2" t="s">
        <v>444</v>
      </c>
      <c r="J22" s="2" t="s">
        <v>1938</v>
      </c>
    </row>
    <row r="23" customFormat="false" ht="15" hidden="false" customHeight="false" outlineLevel="0" collapsed="false">
      <c r="A23" s="2" t="s">
        <v>1939</v>
      </c>
      <c r="B23" s="2" t="s">
        <v>1935</v>
      </c>
      <c r="C23" s="2" t="n">
        <v>2</v>
      </c>
      <c r="D23" s="2" t="s">
        <v>1884</v>
      </c>
      <c r="E23" s="2" t="s">
        <v>34</v>
      </c>
      <c r="F23" s="2" t="s">
        <v>1940</v>
      </c>
      <c r="G23" s="2" t="s">
        <v>1937</v>
      </c>
      <c r="H23" s="2" t="s">
        <v>1935</v>
      </c>
      <c r="I23" s="2" t="s">
        <v>1003</v>
      </c>
      <c r="J23" s="2" t="s">
        <v>1938</v>
      </c>
    </row>
    <row r="24" customFormat="false" ht="15" hidden="false" customHeight="false" outlineLevel="0" collapsed="false">
      <c r="A24" s="2" t="s">
        <v>1941</v>
      </c>
      <c r="B24" s="2" t="s">
        <v>1935</v>
      </c>
      <c r="C24" s="2" t="n">
        <v>3</v>
      </c>
      <c r="D24" s="2" t="s">
        <v>1887</v>
      </c>
      <c r="E24" s="2" t="s">
        <v>35</v>
      </c>
      <c r="F24" s="2" t="s">
        <v>1942</v>
      </c>
      <c r="G24" s="2" t="s">
        <v>1937</v>
      </c>
      <c r="H24" s="2" t="s">
        <v>1935</v>
      </c>
      <c r="I24" s="2" t="s">
        <v>1044</v>
      </c>
      <c r="J24" s="2" t="s">
        <v>1938</v>
      </c>
    </row>
    <row r="25" customFormat="false" ht="15" hidden="false" customHeight="false" outlineLevel="0" collapsed="false">
      <c r="A25" s="2" t="s">
        <v>1943</v>
      </c>
      <c r="B25" s="2" t="s">
        <v>1935</v>
      </c>
      <c r="C25" s="2" t="n">
        <v>4</v>
      </c>
      <c r="D25" s="2" t="s">
        <v>1887</v>
      </c>
      <c r="E25" s="2" t="s">
        <v>35</v>
      </c>
      <c r="F25" s="2" t="s">
        <v>1944</v>
      </c>
      <c r="G25" s="2" t="s">
        <v>1937</v>
      </c>
      <c r="H25" s="2" t="s">
        <v>1935</v>
      </c>
      <c r="I25" s="2" t="s">
        <v>1044</v>
      </c>
      <c r="J25" s="2" t="s">
        <v>1938</v>
      </c>
    </row>
    <row r="26" customFormat="false" ht="15" hidden="false" customHeight="false" outlineLevel="0" collapsed="false">
      <c r="A26" s="2" t="s">
        <v>1945</v>
      </c>
      <c r="B26" s="2" t="s">
        <v>1935</v>
      </c>
      <c r="C26" s="2" t="n">
        <v>5</v>
      </c>
      <c r="D26" s="2" t="s">
        <v>1892</v>
      </c>
      <c r="E26" s="2" t="s">
        <v>35</v>
      </c>
      <c r="F26" s="2" t="s">
        <v>1946</v>
      </c>
      <c r="G26" s="2" t="s">
        <v>1937</v>
      </c>
      <c r="H26" s="2" t="s">
        <v>1935</v>
      </c>
      <c r="I26" s="2" t="s">
        <v>1044</v>
      </c>
      <c r="J26" s="2" t="s">
        <v>1938</v>
      </c>
    </row>
    <row r="27" customFormat="false" ht="15" hidden="false" customHeight="false" outlineLevel="0" collapsed="false">
      <c r="A27" s="2" t="s">
        <v>1947</v>
      </c>
      <c r="B27" s="2" t="s">
        <v>1948</v>
      </c>
      <c r="C27" s="2" t="n">
        <v>1</v>
      </c>
      <c r="D27" s="2" t="s">
        <v>1879</v>
      </c>
      <c r="E27" s="2" t="s">
        <v>33</v>
      </c>
      <c r="F27" s="2" t="s">
        <v>1949</v>
      </c>
      <c r="G27" s="2" t="s">
        <v>1937</v>
      </c>
      <c r="H27" s="2" t="s">
        <v>1948</v>
      </c>
      <c r="I27" s="2" t="s">
        <v>444</v>
      </c>
      <c r="J27" s="2" t="s">
        <v>1950</v>
      </c>
    </row>
    <row r="28" customFormat="false" ht="15" hidden="false" customHeight="false" outlineLevel="0" collapsed="false">
      <c r="A28" s="2" t="s">
        <v>1951</v>
      </c>
      <c r="B28" s="2" t="s">
        <v>1948</v>
      </c>
      <c r="C28" s="2" t="n">
        <v>2</v>
      </c>
      <c r="D28" s="2" t="s">
        <v>1884</v>
      </c>
      <c r="E28" s="2" t="s">
        <v>34</v>
      </c>
      <c r="F28" s="2" t="s">
        <v>1952</v>
      </c>
      <c r="G28" s="2" t="s">
        <v>1937</v>
      </c>
      <c r="H28" s="2" t="s">
        <v>1948</v>
      </c>
      <c r="I28" s="2" t="s">
        <v>1003</v>
      </c>
      <c r="J28" s="2" t="s">
        <v>1950</v>
      </c>
    </row>
    <row r="29" customFormat="false" ht="15" hidden="false" customHeight="false" outlineLevel="0" collapsed="false">
      <c r="A29" s="2" t="s">
        <v>1953</v>
      </c>
      <c r="B29" s="2" t="s">
        <v>1948</v>
      </c>
      <c r="C29" s="2" t="n">
        <v>3</v>
      </c>
      <c r="D29" s="2" t="s">
        <v>1887</v>
      </c>
      <c r="E29" s="2" t="s">
        <v>35</v>
      </c>
      <c r="F29" s="2" t="s">
        <v>1954</v>
      </c>
      <c r="G29" s="2" t="s">
        <v>1937</v>
      </c>
      <c r="H29" s="2" t="s">
        <v>1948</v>
      </c>
      <c r="I29" s="2" t="s">
        <v>1044</v>
      </c>
      <c r="J29" s="2" t="s">
        <v>1950</v>
      </c>
    </row>
    <row r="30" customFormat="false" ht="15" hidden="false" customHeight="false" outlineLevel="0" collapsed="false">
      <c r="A30" s="2" t="s">
        <v>1955</v>
      </c>
      <c r="B30" s="2" t="s">
        <v>1948</v>
      </c>
      <c r="C30" s="2" t="n">
        <v>4</v>
      </c>
      <c r="D30" s="2" t="s">
        <v>1887</v>
      </c>
      <c r="E30" s="2" t="s">
        <v>35</v>
      </c>
      <c r="F30" s="2" t="s">
        <v>1956</v>
      </c>
      <c r="G30" s="2" t="s">
        <v>1937</v>
      </c>
      <c r="H30" s="2" t="s">
        <v>1948</v>
      </c>
      <c r="I30" s="2" t="s">
        <v>1044</v>
      </c>
      <c r="J30" s="2" t="s">
        <v>1950</v>
      </c>
    </row>
    <row r="31" customFormat="false" ht="15" hidden="false" customHeight="false" outlineLevel="0" collapsed="false">
      <c r="A31" s="2" t="s">
        <v>1957</v>
      </c>
      <c r="B31" s="2" t="s">
        <v>1948</v>
      </c>
      <c r="C31" s="2" t="n">
        <v>5</v>
      </c>
      <c r="D31" s="2" t="s">
        <v>1892</v>
      </c>
      <c r="E31" s="2" t="s">
        <v>35</v>
      </c>
      <c r="F31" s="2" t="s">
        <v>1958</v>
      </c>
      <c r="G31" s="2" t="s">
        <v>1937</v>
      </c>
      <c r="H31" s="2" t="s">
        <v>1948</v>
      </c>
      <c r="I31" s="2" t="s">
        <v>1044</v>
      </c>
      <c r="J31" s="2" t="s">
        <v>1950</v>
      </c>
    </row>
    <row r="32" customFormat="false" ht="15" hidden="false" customHeight="false" outlineLevel="0" collapsed="false">
      <c r="A32" s="2" t="s">
        <v>1959</v>
      </c>
      <c r="B32" s="2" t="s">
        <v>1960</v>
      </c>
      <c r="C32" s="2" t="n">
        <v>1</v>
      </c>
      <c r="D32" s="2" t="s">
        <v>1879</v>
      </c>
      <c r="E32" s="2" t="s">
        <v>33</v>
      </c>
      <c r="F32" s="2" t="s">
        <v>1961</v>
      </c>
      <c r="G32" s="2" t="s">
        <v>1937</v>
      </c>
      <c r="H32" s="2" t="s">
        <v>1960</v>
      </c>
      <c r="I32" s="2" t="s">
        <v>444</v>
      </c>
      <c r="J32" s="2" t="s">
        <v>1962</v>
      </c>
    </row>
    <row r="33" customFormat="false" ht="15" hidden="false" customHeight="false" outlineLevel="0" collapsed="false">
      <c r="A33" s="2" t="s">
        <v>1963</v>
      </c>
      <c r="B33" s="2" t="s">
        <v>1960</v>
      </c>
      <c r="C33" s="2" t="n">
        <v>2</v>
      </c>
      <c r="D33" s="2" t="s">
        <v>1884</v>
      </c>
      <c r="E33" s="2" t="s">
        <v>34</v>
      </c>
      <c r="F33" s="2" t="s">
        <v>1964</v>
      </c>
      <c r="G33" s="2" t="s">
        <v>1937</v>
      </c>
      <c r="H33" s="2" t="s">
        <v>1960</v>
      </c>
      <c r="I33" s="2" t="s">
        <v>1003</v>
      </c>
      <c r="J33" s="2" t="s">
        <v>1962</v>
      </c>
    </row>
    <row r="34" customFormat="false" ht="15" hidden="false" customHeight="false" outlineLevel="0" collapsed="false">
      <c r="A34" s="2" t="s">
        <v>1965</v>
      </c>
      <c r="B34" s="2" t="s">
        <v>1960</v>
      </c>
      <c r="C34" s="2" t="n">
        <v>3</v>
      </c>
      <c r="D34" s="2" t="s">
        <v>1887</v>
      </c>
      <c r="E34" s="2" t="s">
        <v>35</v>
      </c>
      <c r="F34" s="2" t="s">
        <v>1966</v>
      </c>
      <c r="G34" s="2" t="s">
        <v>1937</v>
      </c>
      <c r="H34" s="2" t="s">
        <v>1960</v>
      </c>
      <c r="I34" s="2" t="s">
        <v>1044</v>
      </c>
      <c r="J34" s="2" t="s">
        <v>1962</v>
      </c>
    </row>
    <row r="35" customFormat="false" ht="15" hidden="false" customHeight="false" outlineLevel="0" collapsed="false">
      <c r="A35" s="2" t="s">
        <v>1967</v>
      </c>
      <c r="B35" s="2" t="s">
        <v>1960</v>
      </c>
      <c r="C35" s="2" t="n">
        <v>4</v>
      </c>
      <c r="D35" s="2" t="s">
        <v>1887</v>
      </c>
      <c r="E35" s="2" t="s">
        <v>35</v>
      </c>
      <c r="F35" s="2" t="s">
        <v>1968</v>
      </c>
      <c r="G35" s="2" t="s">
        <v>1937</v>
      </c>
      <c r="H35" s="2" t="s">
        <v>1960</v>
      </c>
      <c r="I35" s="2" t="s">
        <v>1044</v>
      </c>
      <c r="J35" s="2" t="s">
        <v>1962</v>
      </c>
    </row>
    <row r="36" customFormat="false" ht="15" hidden="false" customHeight="false" outlineLevel="0" collapsed="false">
      <c r="A36" s="2" t="s">
        <v>1969</v>
      </c>
      <c r="B36" s="2" t="s">
        <v>1960</v>
      </c>
      <c r="C36" s="2" t="n">
        <v>5</v>
      </c>
      <c r="D36" s="2" t="s">
        <v>1892</v>
      </c>
      <c r="E36" s="2" t="s">
        <v>35</v>
      </c>
      <c r="F36" s="2" t="s">
        <v>1970</v>
      </c>
      <c r="G36" s="2" t="s">
        <v>1937</v>
      </c>
      <c r="H36" s="2" t="s">
        <v>1960</v>
      </c>
      <c r="I36" s="2" t="s">
        <v>1044</v>
      </c>
      <c r="J36" s="2" t="s">
        <v>1962</v>
      </c>
    </row>
    <row r="37" customFormat="false" ht="15" hidden="false" customHeight="false" outlineLevel="0" collapsed="false">
      <c r="A37" s="2" t="s">
        <v>1971</v>
      </c>
      <c r="B37" s="2" t="s">
        <v>453</v>
      </c>
      <c r="C37" s="2" t="n">
        <v>1</v>
      </c>
      <c r="D37" s="2" t="s">
        <v>1879</v>
      </c>
      <c r="E37" s="2" t="s">
        <v>33</v>
      </c>
      <c r="F37" s="2" t="s">
        <v>1972</v>
      </c>
      <c r="G37" s="2" t="s">
        <v>1910</v>
      </c>
      <c r="H37" s="2" t="s">
        <v>453</v>
      </c>
      <c r="I37" s="2" t="s">
        <v>452</v>
      </c>
      <c r="J37" s="2" t="s">
        <v>456</v>
      </c>
    </row>
    <row r="38" customFormat="false" ht="15" hidden="false" customHeight="false" outlineLevel="0" collapsed="false">
      <c r="A38" s="2" t="s">
        <v>1973</v>
      </c>
      <c r="B38" s="2" t="s">
        <v>453</v>
      </c>
      <c r="C38" s="2" t="n">
        <v>2</v>
      </c>
      <c r="D38" s="2" t="s">
        <v>1884</v>
      </c>
      <c r="E38" s="2" t="s">
        <v>34</v>
      </c>
      <c r="F38" s="2" t="s">
        <v>1974</v>
      </c>
      <c r="G38" s="2" t="s">
        <v>1910</v>
      </c>
      <c r="H38" s="2" t="s">
        <v>453</v>
      </c>
      <c r="I38" s="2" t="s">
        <v>1003</v>
      </c>
      <c r="J38" s="2" t="s">
        <v>456</v>
      </c>
    </row>
    <row r="39" customFormat="false" ht="15" hidden="false" customHeight="false" outlineLevel="0" collapsed="false">
      <c r="A39" s="2" t="s">
        <v>1975</v>
      </c>
      <c r="B39" s="2" t="s">
        <v>453</v>
      </c>
      <c r="C39" s="2" t="n">
        <v>3</v>
      </c>
      <c r="D39" s="2" t="s">
        <v>1887</v>
      </c>
      <c r="E39" s="2" t="s">
        <v>35</v>
      </c>
      <c r="F39" s="2" t="s">
        <v>1976</v>
      </c>
      <c r="G39" s="2" t="s">
        <v>1910</v>
      </c>
      <c r="H39" s="2" t="s">
        <v>453</v>
      </c>
      <c r="I39" s="2" t="s">
        <v>1044</v>
      </c>
      <c r="J39" s="2" t="s">
        <v>456</v>
      </c>
    </row>
    <row r="40" customFormat="false" ht="15" hidden="false" customHeight="false" outlineLevel="0" collapsed="false">
      <c r="A40" s="2" t="s">
        <v>1977</v>
      </c>
      <c r="B40" s="2" t="s">
        <v>453</v>
      </c>
      <c r="C40" s="2" t="n">
        <v>4</v>
      </c>
      <c r="D40" s="2" t="s">
        <v>1887</v>
      </c>
      <c r="E40" s="2" t="s">
        <v>35</v>
      </c>
      <c r="F40" s="2" t="s">
        <v>1978</v>
      </c>
      <c r="G40" s="2" t="s">
        <v>1910</v>
      </c>
      <c r="H40" s="2" t="s">
        <v>453</v>
      </c>
      <c r="I40" s="2" t="s">
        <v>1044</v>
      </c>
      <c r="J40" s="2" t="s">
        <v>456</v>
      </c>
    </row>
    <row r="41" customFormat="false" ht="15" hidden="false" customHeight="false" outlineLevel="0" collapsed="false">
      <c r="A41" s="2" t="s">
        <v>1979</v>
      </c>
      <c r="B41" s="2" t="s">
        <v>453</v>
      </c>
      <c r="C41" s="2" t="n">
        <v>5</v>
      </c>
      <c r="D41" s="2" t="s">
        <v>1892</v>
      </c>
      <c r="E41" s="2" t="s">
        <v>35</v>
      </c>
      <c r="F41" s="2" t="s">
        <v>1980</v>
      </c>
      <c r="G41" s="2" t="s">
        <v>1910</v>
      </c>
      <c r="H41" s="2" t="s">
        <v>453</v>
      </c>
      <c r="I41" s="2" t="s">
        <v>1044</v>
      </c>
      <c r="J41" s="2" t="s">
        <v>456</v>
      </c>
    </row>
    <row r="42" customFormat="false" ht="15" hidden="false" customHeight="false" outlineLevel="0" collapsed="false">
      <c r="A42" s="2" t="s">
        <v>1981</v>
      </c>
      <c r="B42" s="2" t="s">
        <v>1982</v>
      </c>
      <c r="C42" s="2" t="n">
        <v>1</v>
      </c>
      <c r="D42" s="2" t="s">
        <v>1879</v>
      </c>
      <c r="E42" s="2" t="s">
        <v>33</v>
      </c>
      <c r="F42" s="2" t="s">
        <v>1983</v>
      </c>
      <c r="G42" s="2" t="s">
        <v>1984</v>
      </c>
      <c r="H42" s="2" t="s">
        <v>1985</v>
      </c>
      <c r="I42" s="2" t="s">
        <v>479</v>
      </c>
      <c r="J42" s="2" t="s">
        <v>1986</v>
      </c>
    </row>
    <row r="43" customFormat="false" ht="15" hidden="false" customHeight="false" outlineLevel="0" collapsed="false">
      <c r="A43" s="2" t="s">
        <v>1987</v>
      </c>
      <c r="B43" s="2" t="s">
        <v>1982</v>
      </c>
      <c r="C43" s="2" t="n">
        <v>2</v>
      </c>
      <c r="D43" s="2" t="s">
        <v>1884</v>
      </c>
      <c r="E43" s="2" t="s">
        <v>34</v>
      </c>
      <c r="F43" s="2" t="s">
        <v>1988</v>
      </c>
      <c r="G43" s="2" t="s">
        <v>1989</v>
      </c>
      <c r="H43" s="2" t="s">
        <v>1985</v>
      </c>
      <c r="I43" s="2" t="s">
        <v>1003</v>
      </c>
      <c r="J43" s="2" t="s">
        <v>1986</v>
      </c>
    </row>
    <row r="44" customFormat="false" ht="15" hidden="false" customHeight="false" outlineLevel="0" collapsed="false">
      <c r="A44" s="2" t="s">
        <v>1990</v>
      </c>
      <c r="B44" s="2" t="s">
        <v>1982</v>
      </c>
      <c r="C44" s="2" t="n">
        <v>3</v>
      </c>
      <c r="D44" s="2" t="s">
        <v>1887</v>
      </c>
      <c r="E44" s="2" t="s">
        <v>35</v>
      </c>
      <c r="F44" s="2" t="s">
        <v>1991</v>
      </c>
      <c r="G44" s="2" t="s">
        <v>1989</v>
      </c>
      <c r="H44" s="2" t="s">
        <v>1985</v>
      </c>
      <c r="I44" s="2" t="s">
        <v>1051</v>
      </c>
      <c r="J44" s="2" t="s">
        <v>1986</v>
      </c>
    </row>
    <row r="45" customFormat="false" ht="15" hidden="false" customHeight="false" outlineLevel="0" collapsed="false">
      <c r="A45" s="2" t="s">
        <v>1992</v>
      </c>
      <c r="B45" s="2" t="s">
        <v>1982</v>
      </c>
      <c r="C45" s="2" t="n">
        <v>4</v>
      </c>
      <c r="D45" s="2" t="s">
        <v>1887</v>
      </c>
      <c r="E45" s="2" t="s">
        <v>35</v>
      </c>
      <c r="F45" s="2" t="s">
        <v>1993</v>
      </c>
      <c r="G45" s="2" t="s">
        <v>1984</v>
      </c>
      <c r="H45" s="2" t="s">
        <v>1985</v>
      </c>
      <c r="I45" s="2" t="s">
        <v>1051</v>
      </c>
      <c r="J45" s="2" t="s">
        <v>1986</v>
      </c>
    </row>
    <row r="46" customFormat="false" ht="15" hidden="false" customHeight="false" outlineLevel="0" collapsed="false">
      <c r="A46" s="2" t="s">
        <v>1994</v>
      </c>
      <c r="B46" s="2" t="s">
        <v>1982</v>
      </c>
      <c r="C46" s="2" t="n">
        <v>5</v>
      </c>
      <c r="D46" s="2" t="s">
        <v>1892</v>
      </c>
      <c r="E46" s="2" t="s">
        <v>35</v>
      </c>
      <c r="F46" s="2" t="s">
        <v>1995</v>
      </c>
      <c r="G46" s="2" t="s">
        <v>1984</v>
      </c>
      <c r="H46" s="2" t="s">
        <v>1985</v>
      </c>
      <c r="I46" s="2" t="s">
        <v>1051</v>
      </c>
      <c r="J46" s="2" t="s">
        <v>1986</v>
      </c>
    </row>
    <row r="47" customFormat="false" ht="15" hidden="false" customHeight="false" outlineLevel="0" collapsed="false">
      <c r="A47" s="2" t="s">
        <v>1996</v>
      </c>
      <c r="B47" s="2" t="s">
        <v>1997</v>
      </c>
      <c r="C47" s="2" t="n">
        <v>1</v>
      </c>
      <c r="D47" s="2" t="s">
        <v>1879</v>
      </c>
      <c r="E47" s="2" t="s">
        <v>33</v>
      </c>
      <c r="F47" s="2" t="s">
        <v>1998</v>
      </c>
      <c r="G47" s="2" t="s">
        <v>1937</v>
      </c>
      <c r="H47" s="2" t="s">
        <v>1997</v>
      </c>
      <c r="I47" s="2" t="s">
        <v>479</v>
      </c>
      <c r="J47" s="2" t="s">
        <v>1999</v>
      </c>
    </row>
    <row r="48" customFormat="false" ht="15" hidden="false" customHeight="false" outlineLevel="0" collapsed="false">
      <c r="A48" s="2" t="s">
        <v>2000</v>
      </c>
      <c r="B48" s="2" t="s">
        <v>1997</v>
      </c>
      <c r="C48" s="2" t="n">
        <v>2</v>
      </c>
      <c r="D48" s="2" t="s">
        <v>1884</v>
      </c>
      <c r="E48" s="2" t="s">
        <v>34</v>
      </c>
      <c r="F48" s="2" t="s">
        <v>2001</v>
      </c>
      <c r="G48" s="2" t="s">
        <v>1937</v>
      </c>
      <c r="H48" s="2" t="s">
        <v>1997</v>
      </c>
      <c r="I48" s="2" t="s">
        <v>1003</v>
      </c>
      <c r="J48" s="2" t="s">
        <v>1999</v>
      </c>
    </row>
    <row r="49" customFormat="false" ht="15" hidden="false" customHeight="false" outlineLevel="0" collapsed="false">
      <c r="A49" s="2" t="s">
        <v>2002</v>
      </c>
      <c r="B49" s="2" t="s">
        <v>1997</v>
      </c>
      <c r="C49" s="2" t="n">
        <v>3</v>
      </c>
      <c r="D49" s="2" t="s">
        <v>1887</v>
      </c>
      <c r="E49" s="2" t="s">
        <v>35</v>
      </c>
      <c r="F49" s="2" t="s">
        <v>2003</v>
      </c>
      <c r="G49" s="2" t="s">
        <v>1937</v>
      </c>
      <c r="H49" s="2" t="s">
        <v>1997</v>
      </c>
      <c r="I49" s="2" t="s">
        <v>1051</v>
      </c>
      <c r="J49" s="2" t="s">
        <v>1999</v>
      </c>
    </row>
    <row r="50" customFormat="false" ht="15" hidden="false" customHeight="false" outlineLevel="0" collapsed="false">
      <c r="A50" s="2" t="s">
        <v>2004</v>
      </c>
      <c r="B50" s="2" t="s">
        <v>1997</v>
      </c>
      <c r="C50" s="2" t="n">
        <v>4</v>
      </c>
      <c r="D50" s="2" t="s">
        <v>1887</v>
      </c>
      <c r="E50" s="2" t="s">
        <v>35</v>
      </c>
      <c r="F50" s="2" t="s">
        <v>2005</v>
      </c>
      <c r="G50" s="2" t="s">
        <v>1937</v>
      </c>
      <c r="H50" s="2" t="s">
        <v>1997</v>
      </c>
      <c r="I50" s="2" t="s">
        <v>1051</v>
      </c>
      <c r="J50" s="2" t="s">
        <v>1999</v>
      </c>
    </row>
    <row r="51" customFormat="false" ht="15" hidden="false" customHeight="false" outlineLevel="0" collapsed="false">
      <c r="A51" s="2" t="s">
        <v>2006</v>
      </c>
      <c r="B51" s="2" t="s">
        <v>1997</v>
      </c>
      <c r="C51" s="2" t="n">
        <v>5</v>
      </c>
      <c r="D51" s="2" t="s">
        <v>1892</v>
      </c>
      <c r="E51" s="2" t="s">
        <v>35</v>
      </c>
      <c r="F51" s="2" t="s">
        <v>2007</v>
      </c>
      <c r="G51" s="2" t="s">
        <v>1937</v>
      </c>
      <c r="H51" s="2" t="s">
        <v>1997</v>
      </c>
      <c r="I51" s="2" t="s">
        <v>1051</v>
      </c>
      <c r="J51" s="2" t="s">
        <v>1999</v>
      </c>
    </row>
    <row r="52" customFormat="false" ht="15" hidden="false" customHeight="false" outlineLevel="0" collapsed="false">
      <c r="A52" s="2" t="s">
        <v>2008</v>
      </c>
      <c r="B52" s="2" t="s">
        <v>2009</v>
      </c>
      <c r="C52" s="2" t="n">
        <v>1</v>
      </c>
      <c r="D52" s="2" t="s">
        <v>1879</v>
      </c>
      <c r="E52" s="2" t="s">
        <v>33</v>
      </c>
      <c r="F52" s="2" t="s">
        <v>2010</v>
      </c>
      <c r="G52" s="2" t="s">
        <v>2011</v>
      </c>
      <c r="H52" s="2" t="s">
        <v>2009</v>
      </c>
      <c r="I52" s="2" t="s">
        <v>465</v>
      </c>
      <c r="J52" s="2" t="s">
        <v>470</v>
      </c>
    </row>
    <row r="53" customFormat="false" ht="15" hidden="false" customHeight="false" outlineLevel="0" collapsed="false">
      <c r="A53" s="2" t="s">
        <v>2012</v>
      </c>
      <c r="B53" s="2" t="s">
        <v>2009</v>
      </c>
      <c r="C53" s="2" t="n">
        <v>2</v>
      </c>
      <c r="D53" s="2" t="s">
        <v>1884</v>
      </c>
      <c r="E53" s="2" t="s">
        <v>34</v>
      </c>
      <c r="F53" s="2" t="s">
        <v>2013</v>
      </c>
      <c r="G53" s="2" t="s">
        <v>2011</v>
      </c>
      <c r="H53" s="2" t="s">
        <v>2009</v>
      </c>
      <c r="I53" s="2" t="s">
        <v>1009</v>
      </c>
      <c r="J53" s="2" t="s">
        <v>470</v>
      </c>
    </row>
    <row r="54" customFormat="false" ht="15" hidden="false" customHeight="false" outlineLevel="0" collapsed="false">
      <c r="A54" s="2" t="s">
        <v>2014</v>
      </c>
      <c r="B54" s="2" t="s">
        <v>2009</v>
      </c>
      <c r="C54" s="2" t="n">
        <v>3</v>
      </c>
      <c r="D54" s="2" t="s">
        <v>1887</v>
      </c>
      <c r="E54" s="2" t="s">
        <v>35</v>
      </c>
      <c r="F54" s="2" t="s">
        <v>2015</v>
      </c>
      <c r="G54" s="2" t="s">
        <v>2011</v>
      </c>
      <c r="H54" s="2" t="s">
        <v>2009</v>
      </c>
      <c r="I54" s="2" t="s">
        <v>1057</v>
      </c>
      <c r="J54" s="2" t="s">
        <v>470</v>
      </c>
    </row>
    <row r="55" customFormat="false" ht="15" hidden="false" customHeight="false" outlineLevel="0" collapsed="false">
      <c r="A55" s="2" t="s">
        <v>2016</v>
      </c>
      <c r="B55" s="2" t="s">
        <v>2009</v>
      </c>
      <c r="C55" s="2" t="n">
        <v>4</v>
      </c>
      <c r="D55" s="2" t="s">
        <v>1887</v>
      </c>
      <c r="E55" s="2" t="s">
        <v>35</v>
      </c>
      <c r="F55" s="2" t="s">
        <v>2017</v>
      </c>
      <c r="G55" s="2" t="s">
        <v>2011</v>
      </c>
      <c r="H55" s="2" t="s">
        <v>2009</v>
      </c>
      <c r="I55" s="2" t="s">
        <v>1057</v>
      </c>
      <c r="J55" s="2" t="s">
        <v>470</v>
      </c>
    </row>
    <row r="56" customFormat="false" ht="15" hidden="false" customHeight="false" outlineLevel="0" collapsed="false">
      <c r="A56" s="2" t="s">
        <v>2018</v>
      </c>
      <c r="B56" s="2" t="s">
        <v>2009</v>
      </c>
      <c r="C56" s="2" t="n">
        <v>5</v>
      </c>
      <c r="D56" s="2" t="s">
        <v>1892</v>
      </c>
      <c r="E56" s="2" t="s">
        <v>35</v>
      </c>
      <c r="F56" s="2" t="s">
        <v>2019</v>
      </c>
      <c r="G56" s="2" t="s">
        <v>2011</v>
      </c>
      <c r="H56" s="2" t="s">
        <v>2009</v>
      </c>
      <c r="I56" s="2" t="s">
        <v>1057</v>
      </c>
      <c r="J56" s="2" t="s">
        <v>470</v>
      </c>
    </row>
    <row r="57" customFormat="false" ht="15" hidden="false" customHeight="false" outlineLevel="0" collapsed="false">
      <c r="A57" s="2" t="s">
        <v>2020</v>
      </c>
      <c r="B57" s="2" t="s">
        <v>2021</v>
      </c>
      <c r="C57" s="2" t="n">
        <v>1</v>
      </c>
      <c r="D57" s="2" t="s">
        <v>1879</v>
      </c>
      <c r="E57" s="2" t="s">
        <v>33</v>
      </c>
      <c r="F57" s="2" t="s">
        <v>2022</v>
      </c>
      <c r="G57" s="2" t="s">
        <v>2023</v>
      </c>
      <c r="H57" s="2" t="s">
        <v>2021</v>
      </c>
      <c r="I57" s="2" t="s">
        <v>472</v>
      </c>
      <c r="J57" s="2" t="s">
        <v>477</v>
      </c>
    </row>
    <row r="58" customFormat="false" ht="15" hidden="false" customHeight="false" outlineLevel="0" collapsed="false">
      <c r="A58" s="2" t="s">
        <v>2024</v>
      </c>
      <c r="B58" s="2" t="s">
        <v>2021</v>
      </c>
      <c r="C58" s="2" t="n">
        <v>2</v>
      </c>
      <c r="D58" s="2" t="s">
        <v>1884</v>
      </c>
      <c r="E58" s="2" t="s">
        <v>34</v>
      </c>
      <c r="F58" s="2" t="s">
        <v>2025</v>
      </c>
      <c r="G58" s="2" t="s">
        <v>2023</v>
      </c>
      <c r="H58" s="2" t="s">
        <v>2021</v>
      </c>
      <c r="I58" s="2" t="s">
        <v>1009</v>
      </c>
      <c r="J58" s="2" t="s">
        <v>477</v>
      </c>
    </row>
    <row r="59" customFormat="false" ht="15" hidden="false" customHeight="false" outlineLevel="0" collapsed="false">
      <c r="A59" s="2" t="s">
        <v>2026</v>
      </c>
      <c r="B59" s="2" t="s">
        <v>2021</v>
      </c>
      <c r="C59" s="2" t="n">
        <v>3</v>
      </c>
      <c r="D59" s="2" t="s">
        <v>1887</v>
      </c>
      <c r="E59" s="2" t="s">
        <v>35</v>
      </c>
      <c r="F59" s="2" t="s">
        <v>2027</v>
      </c>
      <c r="G59" s="2" t="s">
        <v>2023</v>
      </c>
      <c r="H59" s="2" t="s">
        <v>2021</v>
      </c>
      <c r="I59" s="2" t="s">
        <v>1057</v>
      </c>
      <c r="J59" s="2" t="s">
        <v>477</v>
      </c>
    </row>
    <row r="60" customFormat="false" ht="15" hidden="false" customHeight="false" outlineLevel="0" collapsed="false">
      <c r="A60" s="2" t="s">
        <v>2028</v>
      </c>
      <c r="B60" s="2" t="s">
        <v>2021</v>
      </c>
      <c r="C60" s="2" t="n">
        <v>4</v>
      </c>
      <c r="D60" s="2" t="s">
        <v>1887</v>
      </c>
      <c r="E60" s="2" t="s">
        <v>35</v>
      </c>
      <c r="F60" s="2" t="s">
        <v>2029</v>
      </c>
      <c r="G60" s="2" t="s">
        <v>2023</v>
      </c>
      <c r="H60" s="2" t="s">
        <v>2021</v>
      </c>
      <c r="I60" s="2" t="s">
        <v>1057</v>
      </c>
      <c r="J60" s="2" t="s">
        <v>477</v>
      </c>
    </row>
    <row r="61" customFormat="false" ht="15" hidden="false" customHeight="false" outlineLevel="0" collapsed="false">
      <c r="A61" s="2" t="s">
        <v>2030</v>
      </c>
      <c r="B61" s="2" t="s">
        <v>2021</v>
      </c>
      <c r="C61" s="2" t="n">
        <v>5</v>
      </c>
      <c r="D61" s="2" t="s">
        <v>1892</v>
      </c>
      <c r="E61" s="2" t="s">
        <v>35</v>
      </c>
      <c r="F61" s="2" t="s">
        <v>2031</v>
      </c>
      <c r="G61" s="2" t="s">
        <v>2023</v>
      </c>
      <c r="H61" s="2" t="s">
        <v>2021</v>
      </c>
      <c r="I61" s="2" t="s">
        <v>1057</v>
      </c>
      <c r="J61" s="2" t="s">
        <v>477</v>
      </c>
    </row>
    <row r="62" customFormat="false" ht="15" hidden="false" customHeight="false" outlineLevel="0" collapsed="false">
      <c r="A62" s="2" t="s">
        <v>2032</v>
      </c>
      <c r="B62" s="2" t="s">
        <v>2033</v>
      </c>
      <c r="C62" s="2" t="n">
        <v>1</v>
      </c>
      <c r="D62" s="2" t="s">
        <v>1879</v>
      </c>
      <c r="E62" s="2" t="s">
        <v>33</v>
      </c>
      <c r="F62" s="2" t="s">
        <v>2034</v>
      </c>
      <c r="G62" s="2" t="s">
        <v>1881</v>
      </c>
      <c r="H62" s="2" t="s">
        <v>2035</v>
      </c>
      <c r="I62" s="2" t="s">
        <v>436</v>
      </c>
      <c r="J62" s="2" t="s">
        <v>2036</v>
      </c>
    </row>
    <row r="63" customFormat="false" ht="15" hidden="false" customHeight="false" outlineLevel="0" collapsed="false">
      <c r="A63" s="2" t="s">
        <v>2037</v>
      </c>
      <c r="B63" s="2" t="s">
        <v>2033</v>
      </c>
      <c r="C63" s="2" t="n">
        <v>2</v>
      </c>
      <c r="D63" s="2" t="s">
        <v>1884</v>
      </c>
      <c r="E63" s="2" t="s">
        <v>34</v>
      </c>
      <c r="F63" s="2" t="s">
        <v>2038</v>
      </c>
      <c r="G63" s="2" t="s">
        <v>1881</v>
      </c>
      <c r="H63" s="2" t="s">
        <v>2035</v>
      </c>
      <c r="I63" s="2" t="s">
        <v>1003</v>
      </c>
      <c r="J63" s="2" t="s">
        <v>2036</v>
      </c>
    </row>
    <row r="64" customFormat="false" ht="15" hidden="false" customHeight="false" outlineLevel="0" collapsed="false">
      <c r="A64" s="2" t="s">
        <v>2039</v>
      </c>
      <c r="B64" s="2" t="s">
        <v>2033</v>
      </c>
      <c r="C64" s="2" t="n">
        <v>3</v>
      </c>
      <c r="D64" s="2" t="s">
        <v>1887</v>
      </c>
      <c r="E64" s="2" t="s">
        <v>35</v>
      </c>
      <c r="F64" s="2" t="s">
        <v>2040</v>
      </c>
      <c r="G64" s="2" t="s">
        <v>1881</v>
      </c>
      <c r="H64" s="2" t="s">
        <v>2035</v>
      </c>
      <c r="I64" s="2" t="s">
        <v>1044</v>
      </c>
      <c r="J64" s="2" t="s">
        <v>2036</v>
      </c>
    </row>
    <row r="65" customFormat="false" ht="15" hidden="false" customHeight="false" outlineLevel="0" collapsed="false">
      <c r="A65" s="2" t="s">
        <v>2041</v>
      </c>
      <c r="B65" s="2" t="s">
        <v>2033</v>
      </c>
      <c r="C65" s="2" t="n">
        <v>4</v>
      </c>
      <c r="D65" s="2" t="s">
        <v>1887</v>
      </c>
      <c r="E65" s="2" t="s">
        <v>35</v>
      </c>
      <c r="F65" s="2" t="s">
        <v>2042</v>
      </c>
      <c r="G65" s="2" t="s">
        <v>1881</v>
      </c>
      <c r="H65" s="2" t="s">
        <v>2035</v>
      </c>
      <c r="I65" s="2" t="s">
        <v>1044</v>
      </c>
      <c r="J65" s="2" t="s">
        <v>2036</v>
      </c>
    </row>
    <row r="66" customFormat="false" ht="15" hidden="false" customHeight="false" outlineLevel="0" collapsed="false">
      <c r="A66" s="2" t="s">
        <v>2043</v>
      </c>
      <c r="B66" s="2" t="s">
        <v>2033</v>
      </c>
      <c r="C66" s="2" t="n">
        <v>5</v>
      </c>
      <c r="D66" s="2" t="s">
        <v>1892</v>
      </c>
      <c r="E66" s="2" t="s">
        <v>35</v>
      </c>
      <c r="F66" s="2" t="s">
        <v>2044</v>
      </c>
      <c r="G66" s="2" t="s">
        <v>1881</v>
      </c>
      <c r="H66" s="2" t="s">
        <v>2035</v>
      </c>
      <c r="I66" s="2" t="s">
        <v>1044</v>
      </c>
      <c r="J66" s="2" t="s">
        <v>2036</v>
      </c>
    </row>
    <row r="67" customFormat="false" ht="15" hidden="false" customHeight="false" outlineLevel="0" collapsed="false">
      <c r="A67" s="2" t="s">
        <v>2045</v>
      </c>
      <c r="B67" s="2" t="s">
        <v>2046</v>
      </c>
      <c r="C67" s="2" t="n">
        <v>1</v>
      </c>
      <c r="D67" s="2" t="s">
        <v>1879</v>
      </c>
      <c r="E67" s="2" t="s">
        <v>33</v>
      </c>
      <c r="F67" s="2" t="s">
        <v>2047</v>
      </c>
      <c r="G67" s="2" t="s">
        <v>2048</v>
      </c>
      <c r="H67" s="2" t="s">
        <v>2046</v>
      </c>
      <c r="I67" s="2" t="s">
        <v>436</v>
      </c>
      <c r="J67" s="2" t="s">
        <v>2049</v>
      </c>
    </row>
    <row r="68" customFormat="false" ht="15" hidden="false" customHeight="false" outlineLevel="0" collapsed="false">
      <c r="A68" s="2" t="s">
        <v>2050</v>
      </c>
      <c r="B68" s="2" t="s">
        <v>2046</v>
      </c>
      <c r="C68" s="2" t="n">
        <v>2</v>
      </c>
      <c r="D68" s="2" t="s">
        <v>1884</v>
      </c>
      <c r="E68" s="2" t="s">
        <v>34</v>
      </c>
      <c r="F68" s="2" t="s">
        <v>2051</v>
      </c>
      <c r="G68" s="2" t="s">
        <v>2048</v>
      </c>
      <c r="H68" s="2" t="s">
        <v>2046</v>
      </c>
      <c r="I68" s="2" t="s">
        <v>1003</v>
      </c>
      <c r="J68" s="2" t="s">
        <v>2049</v>
      </c>
    </row>
    <row r="69" customFormat="false" ht="15" hidden="false" customHeight="false" outlineLevel="0" collapsed="false">
      <c r="A69" s="2" t="s">
        <v>2052</v>
      </c>
      <c r="B69" s="2" t="s">
        <v>2046</v>
      </c>
      <c r="C69" s="2" t="n">
        <v>3</v>
      </c>
      <c r="D69" s="2" t="s">
        <v>1887</v>
      </c>
      <c r="E69" s="2" t="s">
        <v>35</v>
      </c>
      <c r="F69" s="2" t="s">
        <v>2053</v>
      </c>
      <c r="G69" s="2" t="s">
        <v>2048</v>
      </c>
      <c r="H69" s="2" t="s">
        <v>2046</v>
      </c>
      <c r="I69" s="2" t="s">
        <v>1044</v>
      </c>
      <c r="J69" s="2" t="s">
        <v>2049</v>
      </c>
    </row>
    <row r="70" customFormat="false" ht="15" hidden="false" customHeight="false" outlineLevel="0" collapsed="false">
      <c r="A70" s="2" t="s">
        <v>2054</v>
      </c>
      <c r="B70" s="2" t="s">
        <v>2046</v>
      </c>
      <c r="C70" s="2" t="n">
        <v>4</v>
      </c>
      <c r="D70" s="2" t="s">
        <v>1887</v>
      </c>
      <c r="E70" s="2" t="s">
        <v>35</v>
      </c>
      <c r="F70" s="2" t="s">
        <v>2055</v>
      </c>
      <c r="G70" s="2" t="s">
        <v>2048</v>
      </c>
      <c r="H70" s="2" t="s">
        <v>2046</v>
      </c>
      <c r="I70" s="2" t="s">
        <v>1044</v>
      </c>
      <c r="J70" s="2" t="s">
        <v>2049</v>
      </c>
    </row>
    <row r="71" customFormat="false" ht="15" hidden="false" customHeight="false" outlineLevel="0" collapsed="false">
      <c r="A71" s="2" t="s">
        <v>2056</v>
      </c>
      <c r="B71" s="2" t="s">
        <v>2046</v>
      </c>
      <c r="C71" s="2" t="n">
        <v>5</v>
      </c>
      <c r="D71" s="2" t="s">
        <v>1892</v>
      </c>
      <c r="E71" s="2" t="s">
        <v>35</v>
      </c>
      <c r="F71" s="2" t="s">
        <v>2057</v>
      </c>
      <c r="G71" s="2" t="s">
        <v>2048</v>
      </c>
      <c r="H71" s="2" t="s">
        <v>2046</v>
      </c>
      <c r="I71" s="2" t="s">
        <v>1044</v>
      </c>
      <c r="J71" s="2" t="s">
        <v>2049</v>
      </c>
    </row>
    <row r="72" customFormat="false" ht="15" hidden="false" customHeight="false" outlineLevel="0" collapsed="false">
      <c r="A72" s="2" t="s">
        <v>2058</v>
      </c>
      <c r="B72" s="2" t="s">
        <v>2059</v>
      </c>
      <c r="C72" s="2" t="n">
        <v>1</v>
      </c>
      <c r="D72" s="2" t="s">
        <v>1879</v>
      </c>
      <c r="E72" s="2" t="s">
        <v>33</v>
      </c>
      <c r="F72" s="2" t="s">
        <v>2060</v>
      </c>
      <c r="G72" s="2" t="s">
        <v>1937</v>
      </c>
      <c r="H72" s="2" t="s">
        <v>2059</v>
      </c>
      <c r="I72" s="2" t="s">
        <v>479</v>
      </c>
      <c r="J72" s="2" t="s">
        <v>2061</v>
      </c>
    </row>
    <row r="73" customFormat="false" ht="15" hidden="false" customHeight="false" outlineLevel="0" collapsed="false">
      <c r="A73" s="2" t="s">
        <v>2062</v>
      </c>
      <c r="B73" s="2" t="s">
        <v>2059</v>
      </c>
      <c r="C73" s="2" t="n">
        <v>2</v>
      </c>
      <c r="D73" s="2" t="s">
        <v>1884</v>
      </c>
      <c r="E73" s="2" t="s">
        <v>34</v>
      </c>
      <c r="F73" s="2" t="s">
        <v>2063</v>
      </c>
      <c r="G73" s="2" t="s">
        <v>2064</v>
      </c>
      <c r="H73" s="2" t="s">
        <v>2059</v>
      </c>
      <c r="I73" s="2" t="s">
        <v>1003</v>
      </c>
      <c r="J73" s="2" t="s">
        <v>2061</v>
      </c>
    </row>
    <row r="74" customFormat="false" ht="15" hidden="false" customHeight="false" outlineLevel="0" collapsed="false">
      <c r="A74" s="2" t="s">
        <v>2065</v>
      </c>
      <c r="B74" s="2" t="s">
        <v>2059</v>
      </c>
      <c r="C74" s="2" t="n">
        <v>3</v>
      </c>
      <c r="D74" s="2" t="s">
        <v>1887</v>
      </c>
      <c r="E74" s="2" t="s">
        <v>35</v>
      </c>
      <c r="F74" s="2" t="s">
        <v>2066</v>
      </c>
      <c r="G74" s="2" t="s">
        <v>1937</v>
      </c>
      <c r="H74" s="2" t="s">
        <v>2059</v>
      </c>
      <c r="I74" s="2" t="s">
        <v>1051</v>
      </c>
      <c r="J74" s="2" t="s">
        <v>2061</v>
      </c>
    </row>
    <row r="75" customFormat="false" ht="15" hidden="false" customHeight="false" outlineLevel="0" collapsed="false">
      <c r="A75" s="2" t="s">
        <v>2067</v>
      </c>
      <c r="B75" s="2" t="s">
        <v>2059</v>
      </c>
      <c r="C75" s="2" t="n">
        <v>4</v>
      </c>
      <c r="D75" s="2" t="s">
        <v>1887</v>
      </c>
      <c r="E75" s="2" t="s">
        <v>35</v>
      </c>
      <c r="F75" s="2" t="s">
        <v>2068</v>
      </c>
      <c r="G75" s="2" t="s">
        <v>2064</v>
      </c>
      <c r="H75" s="2" t="s">
        <v>2059</v>
      </c>
      <c r="I75" s="2" t="s">
        <v>1051</v>
      </c>
      <c r="J75" s="2" t="s">
        <v>2061</v>
      </c>
    </row>
    <row r="76" customFormat="false" ht="15" hidden="false" customHeight="false" outlineLevel="0" collapsed="false">
      <c r="A76" s="2" t="s">
        <v>2069</v>
      </c>
      <c r="B76" s="2" t="s">
        <v>2059</v>
      </c>
      <c r="C76" s="2" t="n">
        <v>5</v>
      </c>
      <c r="D76" s="2" t="s">
        <v>1892</v>
      </c>
      <c r="E76" s="2" t="s">
        <v>35</v>
      </c>
      <c r="F76" s="2" t="s">
        <v>2070</v>
      </c>
      <c r="G76" s="2" t="s">
        <v>2064</v>
      </c>
      <c r="H76" s="2" t="s">
        <v>2059</v>
      </c>
      <c r="I76" s="2" t="s">
        <v>1051</v>
      </c>
      <c r="J76" s="2" t="s">
        <v>2061</v>
      </c>
    </row>
    <row r="77" customFormat="false" ht="15" hidden="false" customHeight="false" outlineLevel="0" collapsed="false">
      <c r="A77" s="2" t="s">
        <v>2071</v>
      </c>
      <c r="B77" s="2" t="s">
        <v>2072</v>
      </c>
      <c r="C77" s="2" t="n">
        <v>1</v>
      </c>
      <c r="D77" s="2" t="s">
        <v>1879</v>
      </c>
      <c r="E77" s="2" t="s">
        <v>33</v>
      </c>
      <c r="F77" s="2" t="s">
        <v>2073</v>
      </c>
      <c r="G77" s="2" t="s">
        <v>1937</v>
      </c>
      <c r="H77" s="2" t="s">
        <v>2074</v>
      </c>
      <c r="I77" s="2" t="s">
        <v>486</v>
      </c>
      <c r="J77" s="2" t="s">
        <v>491</v>
      </c>
    </row>
    <row r="78" customFormat="false" ht="15" hidden="false" customHeight="false" outlineLevel="0" collapsed="false">
      <c r="A78" s="2" t="s">
        <v>2075</v>
      </c>
      <c r="B78" s="2" t="s">
        <v>2072</v>
      </c>
      <c r="C78" s="2" t="n">
        <v>2</v>
      </c>
      <c r="D78" s="2" t="s">
        <v>1884</v>
      </c>
      <c r="E78" s="2" t="s">
        <v>34</v>
      </c>
      <c r="F78" s="2" t="s">
        <v>2076</v>
      </c>
      <c r="G78" s="2" t="s">
        <v>1937</v>
      </c>
      <c r="H78" s="2" t="s">
        <v>2074</v>
      </c>
      <c r="I78" s="2" t="s">
        <v>1009</v>
      </c>
      <c r="J78" s="2" t="s">
        <v>491</v>
      </c>
    </row>
    <row r="79" customFormat="false" ht="15" hidden="false" customHeight="false" outlineLevel="0" collapsed="false">
      <c r="A79" s="2" t="s">
        <v>2077</v>
      </c>
      <c r="B79" s="2" t="s">
        <v>2072</v>
      </c>
      <c r="C79" s="2" t="n">
        <v>3</v>
      </c>
      <c r="D79" s="2" t="s">
        <v>1887</v>
      </c>
      <c r="E79" s="2" t="s">
        <v>35</v>
      </c>
      <c r="F79" s="2" t="s">
        <v>2078</v>
      </c>
      <c r="G79" s="2" t="s">
        <v>1937</v>
      </c>
      <c r="H79" s="2" t="s">
        <v>2074</v>
      </c>
      <c r="I79" s="2" t="s">
        <v>1057</v>
      </c>
      <c r="J79" s="2" t="s">
        <v>491</v>
      </c>
    </row>
    <row r="80" customFormat="false" ht="15" hidden="false" customHeight="false" outlineLevel="0" collapsed="false">
      <c r="A80" s="2" t="s">
        <v>2079</v>
      </c>
      <c r="B80" s="2" t="s">
        <v>2072</v>
      </c>
      <c r="C80" s="2" t="n">
        <v>4</v>
      </c>
      <c r="D80" s="2" t="s">
        <v>1887</v>
      </c>
      <c r="E80" s="2" t="s">
        <v>35</v>
      </c>
      <c r="F80" s="2" t="s">
        <v>2080</v>
      </c>
      <c r="G80" s="2" t="s">
        <v>1937</v>
      </c>
      <c r="H80" s="2" t="s">
        <v>2074</v>
      </c>
      <c r="I80" s="2" t="s">
        <v>1057</v>
      </c>
      <c r="J80" s="2" t="s">
        <v>491</v>
      </c>
    </row>
    <row r="81" customFormat="false" ht="15" hidden="false" customHeight="false" outlineLevel="0" collapsed="false">
      <c r="A81" s="2" t="s">
        <v>2081</v>
      </c>
      <c r="B81" s="2" t="s">
        <v>2072</v>
      </c>
      <c r="C81" s="2" t="n">
        <v>5</v>
      </c>
      <c r="D81" s="2" t="s">
        <v>1892</v>
      </c>
      <c r="E81" s="2" t="s">
        <v>35</v>
      </c>
      <c r="F81" s="2" t="s">
        <v>2082</v>
      </c>
      <c r="G81" s="2" t="s">
        <v>1937</v>
      </c>
      <c r="H81" s="2" t="s">
        <v>2074</v>
      </c>
      <c r="I81" s="2" t="s">
        <v>1057</v>
      </c>
      <c r="J81" s="2" t="s">
        <v>491</v>
      </c>
    </row>
    <row r="82" customFormat="false" ht="15" hidden="false" customHeight="false" outlineLevel="0" collapsed="false">
      <c r="A82" s="2" t="s">
        <v>2083</v>
      </c>
      <c r="B82" s="2" t="s">
        <v>2084</v>
      </c>
      <c r="C82" s="2" t="n">
        <v>1</v>
      </c>
      <c r="D82" s="2" t="s">
        <v>1879</v>
      </c>
      <c r="E82" s="2" t="s">
        <v>33</v>
      </c>
      <c r="F82" s="2" t="s">
        <v>2085</v>
      </c>
      <c r="G82" s="2" t="s">
        <v>1937</v>
      </c>
      <c r="H82" s="2" t="s">
        <v>2084</v>
      </c>
      <c r="I82" s="2" t="s">
        <v>551</v>
      </c>
      <c r="J82" s="2" t="s">
        <v>609</v>
      </c>
    </row>
    <row r="83" customFormat="false" ht="15" hidden="false" customHeight="false" outlineLevel="0" collapsed="false">
      <c r="A83" s="2" t="s">
        <v>2086</v>
      </c>
      <c r="B83" s="2" t="s">
        <v>2084</v>
      </c>
      <c r="C83" s="2" t="n">
        <v>2</v>
      </c>
      <c r="D83" s="2" t="s">
        <v>1884</v>
      </c>
      <c r="E83" s="2" t="s">
        <v>34</v>
      </c>
      <c r="F83" s="2" t="s">
        <v>2087</v>
      </c>
      <c r="G83" s="2" t="s">
        <v>1937</v>
      </c>
      <c r="H83" s="2" t="s">
        <v>2084</v>
      </c>
      <c r="I83" s="2" t="s">
        <v>604</v>
      </c>
      <c r="J83" s="2" t="s">
        <v>609</v>
      </c>
    </row>
    <row r="84" customFormat="false" ht="15" hidden="false" customHeight="false" outlineLevel="0" collapsed="false">
      <c r="A84" s="2" t="s">
        <v>2088</v>
      </c>
      <c r="B84" s="2" t="s">
        <v>2084</v>
      </c>
      <c r="C84" s="2" t="n">
        <v>3</v>
      </c>
      <c r="D84" s="2" t="s">
        <v>1887</v>
      </c>
      <c r="E84" s="2" t="s">
        <v>35</v>
      </c>
      <c r="F84" s="2" t="s">
        <v>2089</v>
      </c>
      <c r="G84" s="2" t="s">
        <v>1937</v>
      </c>
      <c r="H84" s="2" t="s">
        <v>2084</v>
      </c>
      <c r="I84" s="2" t="s">
        <v>1070</v>
      </c>
      <c r="J84" s="2" t="s">
        <v>609</v>
      </c>
    </row>
    <row r="85" customFormat="false" ht="15" hidden="false" customHeight="false" outlineLevel="0" collapsed="false">
      <c r="A85" s="2" t="s">
        <v>2090</v>
      </c>
      <c r="B85" s="2" t="s">
        <v>2084</v>
      </c>
      <c r="C85" s="2" t="n">
        <v>4</v>
      </c>
      <c r="D85" s="2" t="s">
        <v>1887</v>
      </c>
      <c r="E85" s="2" t="s">
        <v>35</v>
      </c>
      <c r="F85" s="2" t="s">
        <v>2091</v>
      </c>
      <c r="G85" s="2" t="s">
        <v>1937</v>
      </c>
      <c r="H85" s="2" t="s">
        <v>2084</v>
      </c>
      <c r="I85" s="2" t="s">
        <v>1070</v>
      </c>
      <c r="J85" s="2" t="s">
        <v>609</v>
      </c>
    </row>
    <row r="86" customFormat="false" ht="15" hidden="false" customHeight="false" outlineLevel="0" collapsed="false">
      <c r="A86" s="2" t="s">
        <v>2092</v>
      </c>
      <c r="B86" s="2" t="s">
        <v>2084</v>
      </c>
      <c r="C86" s="2" t="n">
        <v>5</v>
      </c>
      <c r="D86" s="2" t="s">
        <v>1892</v>
      </c>
      <c r="E86" s="2" t="s">
        <v>35</v>
      </c>
      <c r="F86" s="2" t="s">
        <v>2093</v>
      </c>
      <c r="G86" s="2" t="s">
        <v>1937</v>
      </c>
      <c r="H86" s="2" t="s">
        <v>2084</v>
      </c>
      <c r="I86" s="2" t="s">
        <v>1070</v>
      </c>
      <c r="J86" s="2" t="s">
        <v>609</v>
      </c>
    </row>
    <row r="87" customFormat="false" ht="15" hidden="false" customHeight="false" outlineLevel="0" collapsed="false">
      <c r="A87" s="2" t="s">
        <v>2094</v>
      </c>
      <c r="B87" s="2" t="s">
        <v>2095</v>
      </c>
      <c r="C87" s="2" t="n">
        <v>1</v>
      </c>
      <c r="D87" s="2" t="s">
        <v>1879</v>
      </c>
      <c r="E87" s="2" t="s">
        <v>33</v>
      </c>
      <c r="F87" s="2" t="s">
        <v>2096</v>
      </c>
      <c r="G87" s="2" t="s">
        <v>1984</v>
      </c>
      <c r="H87" s="2" t="s">
        <v>2095</v>
      </c>
      <c r="I87" s="2" t="s">
        <v>551</v>
      </c>
      <c r="J87" s="2" t="s">
        <v>602</v>
      </c>
    </row>
    <row r="88" customFormat="false" ht="15" hidden="false" customHeight="false" outlineLevel="0" collapsed="false">
      <c r="A88" s="2" t="s">
        <v>2097</v>
      </c>
      <c r="B88" s="2" t="s">
        <v>2095</v>
      </c>
      <c r="C88" s="2" t="n">
        <v>2</v>
      </c>
      <c r="D88" s="2" t="s">
        <v>1884</v>
      </c>
      <c r="E88" s="2" t="s">
        <v>34</v>
      </c>
      <c r="F88" s="2" t="s">
        <v>2098</v>
      </c>
      <c r="G88" s="2" t="s">
        <v>1984</v>
      </c>
      <c r="H88" s="2" t="s">
        <v>2095</v>
      </c>
      <c r="I88" s="2" t="s">
        <v>596</v>
      </c>
      <c r="J88" s="2" t="s">
        <v>602</v>
      </c>
    </row>
    <row r="89" customFormat="false" ht="15" hidden="false" customHeight="false" outlineLevel="0" collapsed="false">
      <c r="A89" s="2" t="s">
        <v>2099</v>
      </c>
      <c r="B89" s="2" t="s">
        <v>2095</v>
      </c>
      <c r="C89" s="2" t="n">
        <v>3</v>
      </c>
      <c r="D89" s="2" t="s">
        <v>1887</v>
      </c>
      <c r="E89" s="2" t="s">
        <v>35</v>
      </c>
      <c r="F89" s="2" t="s">
        <v>2100</v>
      </c>
      <c r="G89" s="2" t="s">
        <v>1984</v>
      </c>
      <c r="H89" s="2" t="s">
        <v>2095</v>
      </c>
      <c r="I89" s="2" t="s">
        <v>1070</v>
      </c>
      <c r="J89" s="2" t="s">
        <v>602</v>
      </c>
    </row>
    <row r="90" customFormat="false" ht="15" hidden="false" customHeight="false" outlineLevel="0" collapsed="false">
      <c r="A90" s="2" t="s">
        <v>2101</v>
      </c>
      <c r="B90" s="2" t="s">
        <v>2095</v>
      </c>
      <c r="C90" s="2" t="n">
        <v>4</v>
      </c>
      <c r="D90" s="2" t="s">
        <v>1887</v>
      </c>
      <c r="E90" s="2" t="s">
        <v>35</v>
      </c>
      <c r="F90" s="2" t="s">
        <v>2102</v>
      </c>
      <c r="G90" s="2" t="s">
        <v>1984</v>
      </c>
      <c r="H90" s="2" t="s">
        <v>2095</v>
      </c>
      <c r="I90" s="2" t="s">
        <v>1070</v>
      </c>
      <c r="J90" s="2" t="s">
        <v>602</v>
      </c>
    </row>
    <row r="91" customFormat="false" ht="15" hidden="false" customHeight="false" outlineLevel="0" collapsed="false">
      <c r="A91" s="2" t="s">
        <v>2103</v>
      </c>
      <c r="B91" s="2" t="s">
        <v>2095</v>
      </c>
      <c r="C91" s="2" t="n">
        <v>5</v>
      </c>
      <c r="D91" s="2" t="s">
        <v>1892</v>
      </c>
      <c r="E91" s="2" t="s">
        <v>35</v>
      </c>
      <c r="F91" s="2" t="s">
        <v>2104</v>
      </c>
      <c r="G91" s="2" t="s">
        <v>1984</v>
      </c>
      <c r="H91" s="2" t="s">
        <v>2095</v>
      </c>
      <c r="I91" s="2" t="s">
        <v>1070</v>
      </c>
      <c r="J91" s="2" t="s">
        <v>602</v>
      </c>
    </row>
    <row r="92" customFormat="false" ht="15" hidden="false" customHeight="false" outlineLevel="0" collapsed="false">
      <c r="A92" s="2" t="s">
        <v>2105</v>
      </c>
      <c r="B92" s="2" t="s">
        <v>619</v>
      </c>
      <c r="C92" s="2" t="n">
        <v>1</v>
      </c>
      <c r="D92" s="2" t="s">
        <v>1879</v>
      </c>
      <c r="E92" s="2" t="s">
        <v>33</v>
      </c>
      <c r="F92" s="2" t="s">
        <v>2106</v>
      </c>
      <c r="G92" s="2" t="s">
        <v>1924</v>
      </c>
      <c r="H92" s="2" t="s">
        <v>619</v>
      </c>
      <c r="I92" s="2" t="s">
        <v>551</v>
      </c>
      <c r="J92" s="2" t="s">
        <v>623</v>
      </c>
    </row>
    <row r="93" customFormat="false" ht="15" hidden="false" customHeight="false" outlineLevel="0" collapsed="false">
      <c r="A93" s="2" t="s">
        <v>2107</v>
      </c>
      <c r="B93" s="2" t="s">
        <v>619</v>
      </c>
      <c r="C93" s="2" t="n">
        <v>2</v>
      </c>
      <c r="D93" s="2" t="s">
        <v>1884</v>
      </c>
      <c r="E93" s="2" t="s">
        <v>34</v>
      </c>
      <c r="F93" s="2" t="s">
        <v>2108</v>
      </c>
      <c r="G93" s="2" t="s">
        <v>1924</v>
      </c>
      <c r="H93" s="2" t="s">
        <v>619</v>
      </c>
      <c r="I93" s="2" t="s">
        <v>617</v>
      </c>
      <c r="J93" s="2" t="s">
        <v>623</v>
      </c>
    </row>
    <row r="94" customFormat="false" ht="15" hidden="false" customHeight="false" outlineLevel="0" collapsed="false">
      <c r="A94" s="2" t="s">
        <v>2109</v>
      </c>
      <c r="B94" s="2" t="s">
        <v>619</v>
      </c>
      <c r="C94" s="2" t="n">
        <v>3</v>
      </c>
      <c r="D94" s="2" t="s">
        <v>1887</v>
      </c>
      <c r="E94" s="2" t="s">
        <v>35</v>
      </c>
      <c r="F94" s="2" t="s">
        <v>2110</v>
      </c>
      <c r="G94" s="2" t="s">
        <v>1924</v>
      </c>
      <c r="H94" s="2" t="s">
        <v>619</v>
      </c>
      <c r="I94" s="2" t="s">
        <v>1091</v>
      </c>
      <c r="J94" s="2" t="s">
        <v>623</v>
      </c>
    </row>
    <row r="95" customFormat="false" ht="15" hidden="false" customHeight="false" outlineLevel="0" collapsed="false">
      <c r="A95" s="2" t="s">
        <v>2111</v>
      </c>
      <c r="B95" s="2" t="s">
        <v>619</v>
      </c>
      <c r="C95" s="2" t="n">
        <v>4</v>
      </c>
      <c r="D95" s="2" t="s">
        <v>1887</v>
      </c>
      <c r="E95" s="2" t="s">
        <v>35</v>
      </c>
      <c r="F95" s="2" t="s">
        <v>2112</v>
      </c>
      <c r="G95" s="2" t="s">
        <v>1924</v>
      </c>
      <c r="H95" s="2" t="s">
        <v>619</v>
      </c>
      <c r="I95" s="2" t="s">
        <v>1091</v>
      </c>
      <c r="J95" s="2" t="s">
        <v>623</v>
      </c>
    </row>
    <row r="96" customFormat="false" ht="15" hidden="false" customHeight="false" outlineLevel="0" collapsed="false">
      <c r="A96" s="2" t="s">
        <v>2113</v>
      </c>
      <c r="B96" s="2" t="s">
        <v>619</v>
      </c>
      <c r="C96" s="2" t="n">
        <v>5</v>
      </c>
      <c r="D96" s="2" t="s">
        <v>1892</v>
      </c>
      <c r="E96" s="2" t="s">
        <v>35</v>
      </c>
      <c r="F96" s="2" t="s">
        <v>2114</v>
      </c>
      <c r="G96" s="2" t="s">
        <v>1924</v>
      </c>
      <c r="H96" s="2" t="s">
        <v>619</v>
      </c>
      <c r="I96" s="2" t="s">
        <v>1091</v>
      </c>
      <c r="J96" s="2" t="s">
        <v>623</v>
      </c>
    </row>
    <row r="97" customFormat="false" ht="15" hidden="false" customHeight="false" outlineLevel="0" collapsed="false">
      <c r="A97" s="2" t="s">
        <v>2115</v>
      </c>
      <c r="B97" s="2" t="s">
        <v>2116</v>
      </c>
      <c r="C97" s="2" t="n">
        <v>1</v>
      </c>
      <c r="D97" s="2" t="s">
        <v>1879</v>
      </c>
      <c r="E97" s="2" t="s">
        <v>33</v>
      </c>
      <c r="F97" s="2" t="s">
        <v>2117</v>
      </c>
      <c r="G97" s="2" t="s">
        <v>2118</v>
      </c>
      <c r="H97" s="2" t="s">
        <v>2116</v>
      </c>
      <c r="I97" s="2" t="s">
        <v>551</v>
      </c>
      <c r="J97" s="2" t="s">
        <v>636</v>
      </c>
    </row>
    <row r="98" customFormat="false" ht="15" hidden="false" customHeight="false" outlineLevel="0" collapsed="false">
      <c r="A98" s="2" t="s">
        <v>2119</v>
      </c>
      <c r="B98" s="2" t="s">
        <v>2116</v>
      </c>
      <c r="C98" s="2" t="n">
        <v>2</v>
      </c>
      <c r="D98" s="2" t="s">
        <v>1884</v>
      </c>
      <c r="E98" s="2" t="s">
        <v>34</v>
      </c>
      <c r="F98" s="2" t="s">
        <v>2120</v>
      </c>
      <c r="G98" s="2" t="s">
        <v>2118</v>
      </c>
      <c r="H98" s="2" t="s">
        <v>2116</v>
      </c>
      <c r="I98" s="2" t="s">
        <v>632</v>
      </c>
      <c r="J98" s="2" t="s">
        <v>636</v>
      </c>
    </row>
    <row r="99" customFormat="false" ht="15" hidden="false" customHeight="false" outlineLevel="0" collapsed="false">
      <c r="A99" s="2" t="s">
        <v>2121</v>
      </c>
      <c r="B99" s="2" t="s">
        <v>2116</v>
      </c>
      <c r="C99" s="2" t="n">
        <v>3</v>
      </c>
      <c r="D99" s="2" t="s">
        <v>1887</v>
      </c>
      <c r="E99" s="2" t="s">
        <v>35</v>
      </c>
      <c r="F99" s="2" t="s">
        <v>2122</v>
      </c>
      <c r="G99" s="2" t="s">
        <v>2118</v>
      </c>
      <c r="H99" s="2" t="s">
        <v>2116</v>
      </c>
      <c r="I99" s="2" t="s">
        <v>1070</v>
      </c>
      <c r="J99" s="2" t="s">
        <v>636</v>
      </c>
    </row>
    <row r="100" customFormat="false" ht="15" hidden="false" customHeight="false" outlineLevel="0" collapsed="false">
      <c r="A100" s="2" t="s">
        <v>2123</v>
      </c>
      <c r="B100" s="2" t="s">
        <v>2116</v>
      </c>
      <c r="C100" s="2" t="n">
        <v>4</v>
      </c>
      <c r="D100" s="2" t="s">
        <v>1887</v>
      </c>
      <c r="E100" s="2" t="s">
        <v>35</v>
      </c>
      <c r="F100" s="2" t="s">
        <v>2124</v>
      </c>
      <c r="G100" s="2" t="s">
        <v>2118</v>
      </c>
      <c r="H100" s="2" t="s">
        <v>2116</v>
      </c>
      <c r="I100" s="2" t="s">
        <v>1070</v>
      </c>
      <c r="J100" s="2" t="s">
        <v>636</v>
      </c>
    </row>
    <row r="101" customFormat="false" ht="15" hidden="false" customHeight="false" outlineLevel="0" collapsed="false">
      <c r="A101" s="2" t="s">
        <v>2125</v>
      </c>
      <c r="B101" s="2" t="s">
        <v>2116</v>
      </c>
      <c r="C101" s="2" t="n">
        <v>5</v>
      </c>
      <c r="D101" s="2" t="s">
        <v>1892</v>
      </c>
      <c r="E101" s="2" t="s">
        <v>35</v>
      </c>
      <c r="F101" s="2" t="s">
        <v>2126</v>
      </c>
      <c r="G101" s="2" t="s">
        <v>2118</v>
      </c>
      <c r="H101" s="2" t="s">
        <v>2116</v>
      </c>
      <c r="I101" s="2" t="s">
        <v>1070</v>
      </c>
      <c r="J101" s="2" t="s">
        <v>636</v>
      </c>
    </row>
    <row r="102" customFormat="false" ht="15" hidden="false" customHeight="false" outlineLevel="0" collapsed="false">
      <c r="A102" s="2" t="s">
        <v>2127</v>
      </c>
      <c r="B102" s="2" t="s">
        <v>2128</v>
      </c>
      <c r="C102" s="2" t="n">
        <v>1</v>
      </c>
      <c r="D102" s="2" t="s">
        <v>1879</v>
      </c>
      <c r="E102" s="2" t="s">
        <v>33</v>
      </c>
      <c r="F102" s="2" t="s">
        <v>2129</v>
      </c>
      <c r="G102" s="2" t="s">
        <v>2130</v>
      </c>
      <c r="H102" s="2" t="s">
        <v>2128</v>
      </c>
      <c r="I102" s="2" t="s">
        <v>551</v>
      </c>
      <c r="J102" s="2" t="s">
        <v>666</v>
      </c>
    </row>
    <row r="103" customFormat="false" ht="15" hidden="false" customHeight="false" outlineLevel="0" collapsed="false">
      <c r="A103" s="2" t="s">
        <v>2131</v>
      </c>
      <c r="B103" s="2" t="s">
        <v>2128</v>
      </c>
      <c r="C103" s="2" t="n">
        <v>2</v>
      </c>
      <c r="D103" s="2" t="s">
        <v>1884</v>
      </c>
      <c r="E103" s="2" t="s">
        <v>34</v>
      </c>
      <c r="F103" s="2" t="s">
        <v>2132</v>
      </c>
      <c r="G103" s="2" t="s">
        <v>2130</v>
      </c>
      <c r="H103" s="2" t="s">
        <v>2128</v>
      </c>
      <c r="I103" s="2" t="s">
        <v>662</v>
      </c>
      <c r="J103" s="2" t="s">
        <v>666</v>
      </c>
    </row>
    <row r="104" customFormat="false" ht="15" hidden="false" customHeight="false" outlineLevel="0" collapsed="false">
      <c r="A104" s="2" t="s">
        <v>2133</v>
      </c>
      <c r="B104" s="2" t="s">
        <v>2128</v>
      </c>
      <c r="C104" s="2" t="n">
        <v>3</v>
      </c>
      <c r="D104" s="2" t="s">
        <v>1887</v>
      </c>
      <c r="E104" s="2" t="s">
        <v>35</v>
      </c>
      <c r="F104" s="2" t="s">
        <v>2134</v>
      </c>
      <c r="G104" s="2" t="s">
        <v>2130</v>
      </c>
      <c r="H104" s="2" t="s">
        <v>2128</v>
      </c>
      <c r="I104" s="2" t="s">
        <v>1091</v>
      </c>
      <c r="J104" s="2" t="s">
        <v>666</v>
      </c>
    </row>
    <row r="105" customFormat="false" ht="15" hidden="false" customHeight="false" outlineLevel="0" collapsed="false">
      <c r="A105" s="2" t="s">
        <v>2135</v>
      </c>
      <c r="B105" s="2" t="s">
        <v>2128</v>
      </c>
      <c r="C105" s="2" t="n">
        <v>4</v>
      </c>
      <c r="D105" s="2" t="s">
        <v>1887</v>
      </c>
      <c r="E105" s="2" t="s">
        <v>35</v>
      </c>
      <c r="F105" s="2" t="s">
        <v>2136</v>
      </c>
      <c r="G105" s="2" t="s">
        <v>2130</v>
      </c>
      <c r="H105" s="2" t="s">
        <v>2128</v>
      </c>
      <c r="I105" s="2" t="s">
        <v>1091</v>
      </c>
      <c r="J105" s="2" t="s">
        <v>666</v>
      </c>
    </row>
    <row r="106" customFormat="false" ht="15" hidden="false" customHeight="false" outlineLevel="0" collapsed="false">
      <c r="A106" s="2" t="s">
        <v>2137</v>
      </c>
      <c r="B106" s="2" t="s">
        <v>2128</v>
      </c>
      <c r="C106" s="2" t="n">
        <v>5</v>
      </c>
      <c r="D106" s="2" t="s">
        <v>1892</v>
      </c>
      <c r="E106" s="2" t="s">
        <v>35</v>
      </c>
      <c r="F106" s="2" t="s">
        <v>2138</v>
      </c>
      <c r="G106" s="2" t="s">
        <v>2130</v>
      </c>
      <c r="H106" s="2" t="s">
        <v>2128</v>
      </c>
      <c r="I106" s="2" t="s">
        <v>1091</v>
      </c>
      <c r="J106" s="2" t="s">
        <v>666</v>
      </c>
    </row>
    <row r="107" customFormat="false" ht="15" hidden="false" customHeight="false" outlineLevel="0" collapsed="false">
      <c r="A107" s="2" t="s">
        <v>2139</v>
      </c>
      <c r="B107" s="2" t="s">
        <v>2140</v>
      </c>
      <c r="C107" s="2" t="n">
        <v>1</v>
      </c>
      <c r="D107" s="2" t="s">
        <v>1879</v>
      </c>
      <c r="E107" s="2" t="s">
        <v>33</v>
      </c>
      <c r="F107" s="2" t="s">
        <v>2141</v>
      </c>
      <c r="G107" s="2" t="s">
        <v>2142</v>
      </c>
      <c r="H107" s="2" t="s">
        <v>2140</v>
      </c>
      <c r="I107" s="2" t="s">
        <v>551</v>
      </c>
      <c r="J107" s="2" t="s">
        <v>660</v>
      </c>
    </row>
    <row r="108" customFormat="false" ht="15" hidden="false" customHeight="false" outlineLevel="0" collapsed="false">
      <c r="A108" s="2" t="s">
        <v>2143</v>
      </c>
      <c r="B108" s="2" t="s">
        <v>2140</v>
      </c>
      <c r="C108" s="2" t="n">
        <v>2</v>
      </c>
      <c r="D108" s="2" t="s">
        <v>1884</v>
      </c>
      <c r="E108" s="2" t="s">
        <v>34</v>
      </c>
      <c r="F108" s="2" t="s">
        <v>2144</v>
      </c>
      <c r="G108" s="2" t="s">
        <v>2142</v>
      </c>
      <c r="H108" s="2" t="s">
        <v>2140</v>
      </c>
      <c r="I108" s="2" t="s">
        <v>655</v>
      </c>
      <c r="J108" s="2" t="s">
        <v>660</v>
      </c>
    </row>
    <row r="109" customFormat="false" ht="15" hidden="false" customHeight="false" outlineLevel="0" collapsed="false">
      <c r="A109" s="2" t="s">
        <v>2145</v>
      </c>
      <c r="B109" s="2" t="s">
        <v>2140</v>
      </c>
      <c r="C109" s="2" t="n">
        <v>3</v>
      </c>
      <c r="D109" s="2" t="s">
        <v>1887</v>
      </c>
      <c r="E109" s="2" t="s">
        <v>35</v>
      </c>
      <c r="F109" s="2" t="s">
        <v>2146</v>
      </c>
      <c r="G109" s="2" t="s">
        <v>2142</v>
      </c>
      <c r="H109" s="2" t="s">
        <v>2140</v>
      </c>
      <c r="I109" s="2" t="s">
        <v>1084</v>
      </c>
      <c r="J109" s="2" t="s">
        <v>660</v>
      </c>
    </row>
    <row r="110" customFormat="false" ht="15" hidden="false" customHeight="false" outlineLevel="0" collapsed="false">
      <c r="A110" s="2" t="s">
        <v>2147</v>
      </c>
      <c r="B110" s="2" t="s">
        <v>2140</v>
      </c>
      <c r="C110" s="2" t="n">
        <v>4</v>
      </c>
      <c r="D110" s="2" t="s">
        <v>1887</v>
      </c>
      <c r="E110" s="2" t="s">
        <v>35</v>
      </c>
      <c r="F110" s="2" t="s">
        <v>2148</v>
      </c>
      <c r="G110" s="2" t="s">
        <v>2142</v>
      </c>
      <c r="H110" s="2" t="s">
        <v>2140</v>
      </c>
      <c r="I110" s="2" t="s">
        <v>1084</v>
      </c>
      <c r="J110" s="2" t="s">
        <v>660</v>
      </c>
    </row>
    <row r="111" customFormat="false" ht="15" hidden="false" customHeight="false" outlineLevel="0" collapsed="false">
      <c r="A111" s="2" t="s">
        <v>2149</v>
      </c>
      <c r="B111" s="2" t="s">
        <v>2140</v>
      </c>
      <c r="C111" s="2" t="n">
        <v>5</v>
      </c>
      <c r="D111" s="2" t="s">
        <v>1892</v>
      </c>
      <c r="E111" s="2" t="s">
        <v>35</v>
      </c>
      <c r="F111" s="2" t="s">
        <v>2150</v>
      </c>
      <c r="G111" s="2" t="s">
        <v>2142</v>
      </c>
      <c r="H111" s="2" t="s">
        <v>2140</v>
      </c>
      <c r="I111" s="2" t="s">
        <v>1084</v>
      </c>
      <c r="J111" s="2" t="s">
        <v>660</v>
      </c>
    </row>
    <row r="112" customFormat="false" ht="15" hidden="false" customHeight="false" outlineLevel="0" collapsed="false">
      <c r="A112" s="2" t="s">
        <v>2151</v>
      </c>
      <c r="B112" s="2" t="s">
        <v>2152</v>
      </c>
      <c r="C112" s="2" t="n">
        <v>1</v>
      </c>
      <c r="D112" s="2" t="s">
        <v>1879</v>
      </c>
      <c r="E112" s="2" t="s">
        <v>33</v>
      </c>
      <c r="F112" s="2" t="s">
        <v>2153</v>
      </c>
      <c r="G112" s="2" t="s">
        <v>2154</v>
      </c>
      <c r="H112" s="2" t="s">
        <v>2152</v>
      </c>
      <c r="I112" s="2" t="s">
        <v>551</v>
      </c>
      <c r="J112" s="2" t="s">
        <v>630</v>
      </c>
    </row>
    <row r="113" customFormat="false" ht="15" hidden="false" customHeight="false" outlineLevel="0" collapsed="false">
      <c r="A113" s="2" t="s">
        <v>2155</v>
      </c>
      <c r="B113" s="2" t="s">
        <v>2152</v>
      </c>
      <c r="C113" s="2" t="n">
        <v>2</v>
      </c>
      <c r="D113" s="2" t="s">
        <v>1884</v>
      </c>
      <c r="E113" s="2" t="s">
        <v>34</v>
      </c>
      <c r="F113" s="2" t="s">
        <v>2156</v>
      </c>
      <c r="G113" s="2" t="s">
        <v>2154</v>
      </c>
      <c r="H113" s="2" t="s">
        <v>2152</v>
      </c>
      <c r="I113" s="2" t="s">
        <v>625</v>
      </c>
      <c r="J113" s="2" t="s">
        <v>630</v>
      </c>
    </row>
    <row r="114" customFormat="false" ht="15" hidden="false" customHeight="false" outlineLevel="0" collapsed="false">
      <c r="A114" s="2" t="s">
        <v>2157</v>
      </c>
      <c r="B114" s="2" t="s">
        <v>2152</v>
      </c>
      <c r="C114" s="2" t="n">
        <v>3</v>
      </c>
      <c r="D114" s="2" t="s">
        <v>1887</v>
      </c>
      <c r="E114" s="2" t="s">
        <v>35</v>
      </c>
      <c r="F114" s="2" t="s">
        <v>2158</v>
      </c>
      <c r="G114" s="2" t="s">
        <v>2154</v>
      </c>
      <c r="H114" s="2" t="s">
        <v>2152</v>
      </c>
      <c r="I114" s="2" t="s">
        <v>1091</v>
      </c>
      <c r="J114" s="2" t="s">
        <v>630</v>
      </c>
    </row>
    <row r="115" customFormat="false" ht="15" hidden="false" customHeight="false" outlineLevel="0" collapsed="false">
      <c r="A115" s="2" t="s">
        <v>2159</v>
      </c>
      <c r="B115" s="2" t="s">
        <v>2152</v>
      </c>
      <c r="C115" s="2" t="n">
        <v>4</v>
      </c>
      <c r="D115" s="2" t="s">
        <v>1887</v>
      </c>
      <c r="E115" s="2" t="s">
        <v>35</v>
      </c>
      <c r="F115" s="2" t="s">
        <v>2160</v>
      </c>
      <c r="G115" s="2" t="s">
        <v>2154</v>
      </c>
      <c r="H115" s="2" t="s">
        <v>2152</v>
      </c>
      <c r="I115" s="2" t="s">
        <v>1091</v>
      </c>
      <c r="J115" s="2" t="s">
        <v>630</v>
      </c>
    </row>
    <row r="116" customFormat="false" ht="15" hidden="false" customHeight="false" outlineLevel="0" collapsed="false">
      <c r="A116" s="2" t="s">
        <v>2161</v>
      </c>
      <c r="B116" s="2" t="s">
        <v>2152</v>
      </c>
      <c r="C116" s="2" t="n">
        <v>5</v>
      </c>
      <c r="D116" s="2" t="s">
        <v>1892</v>
      </c>
      <c r="E116" s="2" t="s">
        <v>35</v>
      </c>
      <c r="F116" s="2" t="s">
        <v>2162</v>
      </c>
      <c r="G116" s="2" t="s">
        <v>2154</v>
      </c>
      <c r="H116" s="2" t="s">
        <v>2152</v>
      </c>
      <c r="I116" s="2" t="s">
        <v>1091</v>
      </c>
      <c r="J116" s="2" t="s">
        <v>630</v>
      </c>
    </row>
    <row r="117" customFormat="false" ht="15" hidden="false" customHeight="false" outlineLevel="0" collapsed="false">
      <c r="A117" s="2" t="s">
        <v>2163</v>
      </c>
      <c r="B117" s="2" t="s">
        <v>761</v>
      </c>
      <c r="C117" s="2" t="n">
        <v>1</v>
      </c>
      <c r="D117" s="2" t="s">
        <v>1879</v>
      </c>
      <c r="E117" s="2" t="s">
        <v>33</v>
      </c>
      <c r="F117" s="2" t="s">
        <v>2164</v>
      </c>
      <c r="G117" s="2" t="s">
        <v>2165</v>
      </c>
      <c r="H117" s="2" t="s">
        <v>761</v>
      </c>
      <c r="I117" s="2" t="s">
        <v>557</v>
      </c>
      <c r="J117" s="2" t="s">
        <v>2166</v>
      </c>
    </row>
    <row r="118" customFormat="false" ht="15" hidden="false" customHeight="false" outlineLevel="0" collapsed="false">
      <c r="A118" s="2" t="s">
        <v>2167</v>
      </c>
      <c r="B118" s="2" t="s">
        <v>761</v>
      </c>
      <c r="C118" s="2" t="n">
        <v>2</v>
      </c>
      <c r="D118" s="2" t="s">
        <v>1884</v>
      </c>
      <c r="E118" s="2" t="s">
        <v>34</v>
      </c>
      <c r="F118" s="2" t="s">
        <v>2168</v>
      </c>
      <c r="G118" s="2" t="s">
        <v>2165</v>
      </c>
      <c r="H118" s="2" t="s">
        <v>761</v>
      </c>
      <c r="I118" s="2" t="s">
        <v>759</v>
      </c>
      <c r="J118" s="2" t="s">
        <v>2166</v>
      </c>
    </row>
    <row r="119" customFormat="false" ht="15" hidden="false" customHeight="false" outlineLevel="0" collapsed="false">
      <c r="A119" s="2" t="s">
        <v>2169</v>
      </c>
      <c r="B119" s="2" t="s">
        <v>761</v>
      </c>
      <c r="C119" s="2" t="n">
        <v>3</v>
      </c>
      <c r="D119" s="2" t="s">
        <v>1887</v>
      </c>
      <c r="E119" s="2" t="s">
        <v>35</v>
      </c>
      <c r="F119" s="2" t="s">
        <v>2170</v>
      </c>
      <c r="G119" s="2" t="s">
        <v>2165</v>
      </c>
      <c r="H119" s="2" t="s">
        <v>761</v>
      </c>
      <c r="I119" s="2" t="s">
        <v>1105</v>
      </c>
      <c r="J119" s="2" t="s">
        <v>2166</v>
      </c>
    </row>
    <row r="120" customFormat="false" ht="15" hidden="false" customHeight="false" outlineLevel="0" collapsed="false">
      <c r="A120" s="2" t="s">
        <v>2171</v>
      </c>
      <c r="B120" s="2" t="s">
        <v>761</v>
      </c>
      <c r="C120" s="2" t="n">
        <v>4</v>
      </c>
      <c r="D120" s="2" t="s">
        <v>1887</v>
      </c>
      <c r="E120" s="2" t="s">
        <v>35</v>
      </c>
      <c r="F120" s="2" t="s">
        <v>2172</v>
      </c>
      <c r="G120" s="2" t="s">
        <v>2165</v>
      </c>
      <c r="H120" s="2" t="s">
        <v>761</v>
      </c>
      <c r="I120" s="2" t="s">
        <v>1105</v>
      </c>
      <c r="J120" s="2" t="s">
        <v>2166</v>
      </c>
    </row>
    <row r="121" customFormat="false" ht="15" hidden="false" customHeight="false" outlineLevel="0" collapsed="false">
      <c r="A121" s="2" t="s">
        <v>2173</v>
      </c>
      <c r="B121" s="2" t="s">
        <v>761</v>
      </c>
      <c r="C121" s="2" t="n">
        <v>5</v>
      </c>
      <c r="D121" s="2" t="s">
        <v>1892</v>
      </c>
      <c r="E121" s="2" t="s">
        <v>35</v>
      </c>
      <c r="F121" s="2" t="s">
        <v>2174</v>
      </c>
      <c r="G121" s="2" t="s">
        <v>2165</v>
      </c>
      <c r="H121" s="2" t="s">
        <v>761</v>
      </c>
      <c r="I121" s="2" t="s">
        <v>1105</v>
      </c>
      <c r="J121" s="2" t="s">
        <v>2166</v>
      </c>
    </row>
    <row r="122" customFormat="false" ht="15" hidden="false" customHeight="false" outlineLevel="0" collapsed="false">
      <c r="A122" s="2" t="s">
        <v>2175</v>
      </c>
      <c r="B122" s="2" t="s">
        <v>2176</v>
      </c>
      <c r="C122" s="2" t="n">
        <v>1</v>
      </c>
      <c r="D122" s="2" t="s">
        <v>1879</v>
      </c>
      <c r="E122" s="2" t="s">
        <v>33</v>
      </c>
      <c r="F122" s="2" t="s">
        <v>2177</v>
      </c>
      <c r="G122" s="2" t="s">
        <v>1937</v>
      </c>
      <c r="H122" s="2" t="s">
        <v>2176</v>
      </c>
      <c r="I122" s="2" t="s">
        <v>557</v>
      </c>
      <c r="J122" s="2" t="s">
        <v>2178</v>
      </c>
    </row>
    <row r="123" customFormat="false" ht="15" hidden="false" customHeight="false" outlineLevel="0" collapsed="false">
      <c r="A123" s="2" t="s">
        <v>2179</v>
      </c>
      <c r="B123" s="2" t="s">
        <v>2176</v>
      </c>
      <c r="C123" s="2" t="n">
        <v>2</v>
      </c>
      <c r="D123" s="2" t="s">
        <v>1884</v>
      </c>
      <c r="E123" s="2" t="s">
        <v>34</v>
      </c>
      <c r="F123" s="2" t="s">
        <v>2180</v>
      </c>
      <c r="G123" s="2" t="s">
        <v>1937</v>
      </c>
      <c r="H123" s="2" t="s">
        <v>2176</v>
      </c>
      <c r="I123" s="2" t="s">
        <v>759</v>
      </c>
      <c r="J123" s="2" t="s">
        <v>2178</v>
      </c>
    </row>
    <row r="124" customFormat="false" ht="15" hidden="false" customHeight="false" outlineLevel="0" collapsed="false">
      <c r="A124" s="2" t="s">
        <v>2181</v>
      </c>
      <c r="B124" s="2" t="s">
        <v>2176</v>
      </c>
      <c r="C124" s="2" t="n">
        <v>3</v>
      </c>
      <c r="D124" s="2" t="s">
        <v>1887</v>
      </c>
      <c r="E124" s="2" t="s">
        <v>35</v>
      </c>
      <c r="F124" s="2" t="s">
        <v>2182</v>
      </c>
      <c r="G124" s="2" t="s">
        <v>1937</v>
      </c>
      <c r="H124" s="2" t="s">
        <v>2176</v>
      </c>
      <c r="I124" s="2" t="s">
        <v>1105</v>
      </c>
      <c r="J124" s="2" t="s">
        <v>2178</v>
      </c>
    </row>
    <row r="125" customFormat="false" ht="15" hidden="false" customHeight="false" outlineLevel="0" collapsed="false">
      <c r="A125" s="2" t="s">
        <v>2183</v>
      </c>
      <c r="B125" s="2" t="s">
        <v>2176</v>
      </c>
      <c r="C125" s="2" t="n">
        <v>4</v>
      </c>
      <c r="D125" s="2" t="s">
        <v>1887</v>
      </c>
      <c r="E125" s="2" t="s">
        <v>35</v>
      </c>
      <c r="F125" s="2" t="s">
        <v>2184</v>
      </c>
      <c r="G125" s="2" t="s">
        <v>1937</v>
      </c>
      <c r="H125" s="2" t="s">
        <v>2176</v>
      </c>
      <c r="I125" s="2" t="s">
        <v>1105</v>
      </c>
      <c r="J125" s="2" t="s">
        <v>2178</v>
      </c>
    </row>
    <row r="126" customFormat="false" ht="15" hidden="false" customHeight="false" outlineLevel="0" collapsed="false">
      <c r="A126" s="2" t="s">
        <v>2185</v>
      </c>
      <c r="B126" s="2" t="s">
        <v>2176</v>
      </c>
      <c r="C126" s="2" t="n">
        <v>5</v>
      </c>
      <c r="D126" s="2" t="s">
        <v>1892</v>
      </c>
      <c r="E126" s="2" t="s">
        <v>35</v>
      </c>
      <c r="F126" s="2" t="s">
        <v>2186</v>
      </c>
      <c r="G126" s="2" t="s">
        <v>1937</v>
      </c>
      <c r="H126" s="2" t="s">
        <v>2176</v>
      </c>
      <c r="I126" s="2" t="s">
        <v>1105</v>
      </c>
      <c r="J126" s="2" t="s">
        <v>2178</v>
      </c>
    </row>
    <row r="127" customFormat="false" ht="15" hidden="false" customHeight="false" outlineLevel="0" collapsed="false">
      <c r="A127" s="2" t="s">
        <v>2187</v>
      </c>
      <c r="B127" s="2" t="s">
        <v>2188</v>
      </c>
      <c r="C127" s="2" t="n">
        <v>1</v>
      </c>
      <c r="D127" s="2" t="s">
        <v>1879</v>
      </c>
      <c r="E127" s="2" t="s">
        <v>33</v>
      </c>
      <c r="F127" s="2" t="s">
        <v>2189</v>
      </c>
      <c r="G127" s="2" t="s">
        <v>1937</v>
      </c>
      <c r="H127" s="2" t="s">
        <v>2188</v>
      </c>
      <c r="I127" s="2" t="s">
        <v>557</v>
      </c>
      <c r="J127" s="2" t="s">
        <v>771</v>
      </c>
    </row>
    <row r="128" customFormat="false" ht="15" hidden="false" customHeight="false" outlineLevel="0" collapsed="false">
      <c r="A128" s="2" t="s">
        <v>2190</v>
      </c>
      <c r="B128" s="2" t="s">
        <v>2188</v>
      </c>
      <c r="C128" s="2" t="n">
        <v>2</v>
      </c>
      <c r="D128" s="2" t="s">
        <v>1884</v>
      </c>
      <c r="E128" s="2" t="s">
        <v>34</v>
      </c>
      <c r="F128" s="2" t="s">
        <v>2191</v>
      </c>
      <c r="G128" s="2" t="s">
        <v>1937</v>
      </c>
      <c r="H128" s="2" t="s">
        <v>2188</v>
      </c>
      <c r="I128" s="2" t="s">
        <v>767</v>
      </c>
      <c r="J128" s="2" t="s">
        <v>771</v>
      </c>
    </row>
    <row r="129" customFormat="false" ht="15" hidden="false" customHeight="false" outlineLevel="0" collapsed="false">
      <c r="A129" s="2" t="s">
        <v>2192</v>
      </c>
      <c r="B129" s="2" t="s">
        <v>2188</v>
      </c>
      <c r="C129" s="2" t="n">
        <v>3</v>
      </c>
      <c r="D129" s="2" t="s">
        <v>1887</v>
      </c>
      <c r="E129" s="2" t="s">
        <v>35</v>
      </c>
      <c r="F129" s="2" t="s">
        <v>2193</v>
      </c>
      <c r="G129" s="2" t="s">
        <v>1937</v>
      </c>
      <c r="H129" s="2" t="s">
        <v>2188</v>
      </c>
      <c r="I129" s="2" t="s">
        <v>1105</v>
      </c>
      <c r="J129" s="2" t="s">
        <v>771</v>
      </c>
    </row>
    <row r="130" customFormat="false" ht="15" hidden="false" customHeight="false" outlineLevel="0" collapsed="false">
      <c r="A130" s="2" t="s">
        <v>2194</v>
      </c>
      <c r="B130" s="2" t="s">
        <v>2188</v>
      </c>
      <c r="C130" s="2" t="n">
        <v>4</v>
      </c>
      <c r="D130" s="2" t="s">
        <v>1887</v>
      </c>
      <c r="E130" s="2" t="s">
        <v>35</v>
      </c>
      <c r="F130" s="2" t="s">
        <v>2195</v>
      </c>
      <c r="G130" s="2" t="s">
        <v>1937</v>
      </c>
      <c r="H130" s="2" t="s">
        <v>2188</v>
      </c>
      <c r="I130" s="2" t="s">
        <v>1105</v>
      </c>
      <c r="J130" s="2" t="s">
        <v>771</v>
      </c>
    </row>
    <row r="131" customFormat="false" ht="15" hidden="false" customHeight="false" outlineLevel="0" collapsed="false">
      <c r="A131" s="2" t="s">
        <v>2196</v>
      </c>
      <c r="B131" s="2" t="s">
        <v>2188</v>
      </c>
      <c r="C131" s="2" t="n">
        <v>5</v>
      </c>
      <c r="D131" s="2" t="s">
        <v>1892</v>
      </c>
      <c r="E131" s="2" t="s">
        <v>35</v>
      </c>
      <c r="F131" s="2" t="s">
        <v>2197</v>
      </c>
      <c r="G131" s="2" t="s">
        <v>1937</v>
      </c>
      <c r="H131" s="2" t="s">
        <v>2188</v>
      </c>
      <c r="I131" s="2" t="s">
        <v>1105</v>
      </c>
      <c r="J131" s="2" t="s">
        <v>771</v>
      </c>
    </row>
    <row r="132" customFormat="false" ht="15" hidden="false" customHeight="false" outlineLevel="0" collapsed="false">
      <c r="A132" s="2" t="s">
        <v>2198</v>
      </c>
      <c r="B132" s="2" t="s">
        <v>2199</v>
      </c>
      <c r="C132" s="2" t="n">
        <v>1</v>
      </c>
      <c r="D132" s="2" t="s">
        <v>1879</v>
      </c>
      <c r="E132" s="2" t="s">
        <v>33</v>
      </c>
      <c r="F132" s="2" t="s">
        <v>2200</v>
      </c>
      <c r="G132" s="2" t="s">
        <v>2201</v>
      </c>
      <c r="H132" s="2" t="s">
        <v>2199</v>
      </c>
      <c r="I132" s="2" t="s">
        <v>557</v>
      </c>
      <c r="J132" s="2" t="s">
        <v>2202</v>
      </c>
    </row>
    <row r="133" customFormat="false" ht="15" hidden="false" customHeight="false" outlineLevel="0" collapsed="false">
      <c r="A133" s="2" t="s">
        <v>2203</v>
      </c>
      <c r="B133" s="2" t="s">
        <v>2199</v>
      </c>
      <c r="C133" s="2" t="n">
        <v>2</v>
      </c>
      <c r="D133" s="2" t="s">
        <v>1884</v>
      </c>
      <c r="E133" s="2" t="s">
        <v>34</v>
      </c>
      <c r="F133" s="2" t="s">
        <v>2204</v>
      </c>
      <c r="G133" s="2" t="s">
        <v>2201</v>
      </c>
      <c r="H133" s="2" t="s">
        <v>2199</v>
      </c>
      <c r="I133" s="2" t="s">
        <v>773</v>
      </c>
      <c r="J133" s="2" t="s">
        <v>2202</v>
      </c>
    </row>
    <row r="134" customFormat="false" ht="15" hidden="false" customHeight="false" outlineLevel="0" collapsed="false">
      <c r="A134" s="2" t="s">
        <v>2205</v>
      </c>
      <c r="B134" s="2" t="s">
        <v>2199</v>
      </c>
      <c r="C134" s="2" t="n">
        <v>3</v>
      </c>
      <c r="D134" s="2" t="s">
        <v>1887</v>
      </c>
      <c r="E134" s="2" t="s">
        <v>35</v>
      </c>
      <c r="F134" s="2" t="s">
        <v>2206</v>
      </c>
      <c r="G134" s="2" t="s">
        <v>2201</v>
      </c>
      <c r="H134" s="2" t="s">
        <v>2199</v>
      </c>
      <c r="I134" s="2" t="s">
        <v>1112</v>
      </c>
      <c r="J134" s="2" t="s">
        <v>2202</v>
      </c>
    </row>
    <row r="135" customFormat="false" ht="15" hidden="false" customHeight="false" outlineLevel="0" collapsed="false">
      <c r="A135" s="2" t="s">
        <v>2207</v>
      </c>
      <c r="B135" s="2" t="s">
        <v>2199</v>
      </c>
      <c r="C135" s="2" t="n">
        <v>4</v>
      </c>
      <c r="D135" s="2" t="s">
        <v>1887</v>
      </c>
      <c r="E135" s="2" t="s">
        <v>35</v>
      </c>
      <c r="F135" s="2" t="s">
        <v>2208</v>
      </c>
      <c r="G135" s="2" t="s">
        <v>2201</v>
      </c>
      <c r="H135" s="2" t="s">
        <v>2199</v>
      </c>
      <c r="I135" s="2" t="s">
        <v>1112</v>
      </c>
      <c r="J135" s="2" t="s">
        <v>2202</v>
      </c>
    </row>
    <row r="136" customFormat="false" ht="15" hidden="false" customHeight="false" outlineLevel="0" collapsed="false">
      <c r="A136" s="2" t="s">
        <v>2209</v>
      </c>
      <c r="B136" s="2" t="s">
        <v>2199</v>
      </c>
      <c r="C136" s="2" t="n">
        <v>5</v>
      </c>
      <c r="D136" s="2" t="s">
        <v>1892</v>
      </c>
      <c r="E136" s="2" t="s">
        <v>35</v>
      </c>
      <c r="F136" s="2" t="s">
        <v>2210</v>
      </c>
      <c r="G136" s="2" t="s">
        <v>2201</v>
      </c>
      <c r="H136" s="2" t="s">
        <v>2199</v>
      </c>
      <c r="I136" s="2" t="s">
        <v>1112</v>
      </c>
      <c r="J136" s="2" t="s">
        <v>2202</v>
      </c>
    </row>
    <row r="137" customFormat="false" ht="15" hidden="false" customHeight="false" outlineLevel="0" collapsed="false">
      <c r="A137" s="2" t="s">
        <v>2211</v>
      </c>
      <c r="B137" s="2" t="s">
        <v>2212</v>
      </c>
      <c r="C137" s="2" t="n">
        <v>1</v>
      </c>
      <c r="D137" s="2" t="s">
        <v>1879</v>
      </c>
      <c r="E137" s="2" t="s">
        <v>33</v>
      </c>
      <c r="F137" s="2" t="s">
        <v>2213</v>
      </c>
      <c r="G137" s="2" t="s">
        <v>2201</v>
      </c>
      <c r="H137" s="2" t="s">
        <v>2212</v>
      </c>
      <c r="I137" s="2" t="s">
        <v>557</v>
      </c>
      <c r="J137" s="2" t="s">
        <v>2214</v>
      </c>
    </row>
    <row r="138" customFormat="false" ht="15" hidden="false" customHeight="false" outlineLevel="0" collapsed="false">
      <c r="A138" s="2" t="s">
        <v>2215</v>
      </c>
      <c r="B138" s="2" t="s">
        <v>2212</v>
      </c>
      <c r="C138" s="2" t="n">
        <v>2</v>
      </c>
      <c r="D138" s="2" t="s">
        <v>1884</v>
      </c>
      <c r="E138" s="2" t="s">
        <v>34</v>
      </c>
      <c r="F138" s="2" t="s">
        <v>2216</v>
      </c>
      <c r="G138" s="2" t="s">
        <v>2201</v>
      </c>
      <c r="H138" s="2" t="s">
        <v>2212</v>
      </c>
      <c r="I138" s="2" t="s">
        <v>773</v>
      </c>
      <c r="J138" s="2" t="s">
        <v>2214</v>
      </c>
    </row>
    <row r="139" customFormat="false" ht="15" hidden="false" customHeight="false" outlineLevel="0" collapsed="false">
      <c r="A139" s="2" t="s">
        <v>2217</v>
      </c>
      <c r="B139" s="2" t="s">
        <v>2212</v>
      </c>
      <c r="C139" s="2" t="n">
        <v>3</v>
      </c>
      <c r="D139" s="2" t="s">
        <v>1887</v>
      </c>
      <c r="E139" s="2" t="s">
        <v>35</v>
      </c>
      <c r="F139" s="2" t="s">
        <v>2218</v>
      </c>
      <c r="G139" s="2" t="s">
        <v>2201</v>
      </c>
      <c r="H139" s="2" t="s">
        <v>2212</v>
      </c>
      <c r="I139" s="2" t="s">
        <v>1112</v>
      </c>
      <c r="J139" s="2" t="s">
        <v>2214</v>
      </c>
    </row>
    <row r="140" customFormat="false" ht="15" hidden="false" customHeight="false" outlineLevel="0" collapsed="false">
      <c r="A140" s="2" t="s">
        <v>2219</v>
      </c>
      <c r="B140" s="2" t="s">
        <v>2212</v>
      </c>
      <c r="C140" s="2" t="n">
        <v>4</v>
      </c>
      <c r="D140" s="2" t="s">
        <v>1887</v>
      </c>
      <c r="E140" s="2" t="s">
        <v>35</v>
      </c>
      <c r="F140" s="2" t="s">
        <v>2220</v>
      </c>
      <c r="G140" s="2" t="s">
        <v>2201</v>
      </c>
      <c r="H140" s="2" t="s">
        <v>2212</v>
      </c>
      <c r="I140" s="2" t="s">
        <v>1112</v>
      </c>
      <c r="J140" s="2" t="s">
        <v>2214</v>
      </c>
    </row>
    <row r="141" customFormat="false" ht="15" hidden="false" customHeight="false" outlineLevel="0" collapsed="false">
      <c r="A141" s="2" t="s">
        <v>2221</v>
      </c>
      <c r="B141" s="2" t="s">
        <v>2212</v>
      </c>
      <c r="C141" s="2" t="n">
        <v>5</v>
      </c>
      <c r="D141" s="2" t="s">
        <v>1892</v>
      </c>
      <c r="E141" s="2" t="s">
        <v>35</v>
      </c>
      <c r="F141" s="2" t="s">
        <v>2222</v>
      </c>
      <c r="G141" s="2" t="s">
        <v>2201</v>
      </c>
      <c r="H141" s="2" t="s">
        <v>2212</v>
      </c>
      <c r="I141" s="2" t="s">
        <v>1112</v>
      </c>
      <c r="J141" s="2" t="s">
        <v>2214</v>
      </c>
    </row>
    <row r="142" customFormat="false" ht="15" hidden="false" customHeight="false" outlineLevel="0" collapsed="false">
      <c r="A142" s="2" t="s">
        <v>2223</v>
      </c>
      <c r="B142" s="2" t="s">
        <v>2224</v>
      </c>
      <c r="C142" s="2" t="n">
        <v>1</v>
      </c>
      <c r="D142" s="2" t="s">
        <v>1879</v>
      </c>
      <c r="E142" s="2" t="s">
        <v>33</v>
      </c>
      <c r="F142" s="2" t="s">
        <v>2225</v>
      </c>
      <c r="G142" s="2" t="s">
        <v>1937</v>
      </c>
      <c r="H142" s="2" t="s">
        <v>2224</v>
      </c>
      <c r="I142" s="2" t="s">
        <v>557</v>
      </c>
      <c r="J142" s="2" t="s">
        <v>2226</v>
      </c>
    </row>
    <row r="143" customFormat="false" ht="15" hidden="false" customHeight="false" outlineLevel="0" collapsed="false">
      <c r="A143" s="2" t="s">
        <v>2227</v>
      </c>
      <c r="B143" s="2" t="s">
        <v>2224</v>
      </c>
      <c r="C143" s="2" t="n">
        <v>2</v>
      </c>
      <c r="D143" s="2" t="s">
        <v>1884</v>
      </c>
      <c r="E143" s="2" t="s">
        <v>34</v>
      </c>
      <c r="F143" s="2" t="s">
        <v>2228</v>
      </c>
      <c r="G143" s="2" t="s">
        <v>1937</v>
      </c>
      <c r="H143" s="2" t="s">
        <v>2224</v>
      </c>
      <c r="I143" s="2" t="s">
        <v>868</v>
      </c>
      <c r="J143" s="2" t="s">
        <v>2226</v>
      </c>
    </row>
    <row r="144" customFormat="false" ht="15" hidden="false" customHeight="false" outlineLevel="0" collapsed="false">
      <c r="A144" s="2" t="s">
        <v>2229</v>
      </c>
      <c r="B144" s="2" t="s">
        <v>2224</v>
      </c>
      <c r="C144" s="2" t="n">
        <v>3</v>
      </c>
      <c r="D144" s="2" t="s">
        <v>1887</v>
      </c>
      <c r="E144" s="2" t="s">
        <v>35</v>
      </c>
      <c r="F144" s="2" t="s">
        <v>2230</v>
      </c>
      <c r="G144" s="2" t="s">
        <v>1937</v>
      </c>
      <c r="H144" s="2" t="s">
        <v>2224</v>
      </c>
      <c r="I144" s="2" t="s">
        <v>1105</v>
      </c>
      <c r="J144" s="2" t="s">
        <v>2226</v>
      </c>
    </row>
    <row r="145" customFormat="false" ht="15" hidden="false" customHeight="false" outlineLevel="0" collapsed="false">
      <c r="A145" s="2" t="s">
        <v>2231</v>
      </c>
      <c r="B145" s="2" t="s">
        <v>2224</v>
      </c>
      <c r="C145" s="2" t="n">
        <v>4</v>
      </c>
      <c r="D145" s="2" t="s">
        <v>1887</v>
      </c>
      <c r="E145" s="2" t="s">
        <v>35</v>
      </c>
      <c r="F145" s="2" t="s">
        <v>2232</v>
      </c>
      <c r="G145" s="2" t="s">
        <v>1937</v>
      </c>
      <c r="H145" s="2" t="s">
        <v>2224</v>
      </c>
      <c r="I145" s="2" t="s">
        <v>1105</v>
      </c>
      <c r="J145" s="2" t="s">
        <v>2226</v>
      </c>
    </row>
    <row r="146" customFormat="false" ht="15" hidden="false" customHeight="false" outlineLevel="0" collapsed="false">
      <c r="A146" s="2" t="s">
        <v>2233</v>
      </c>
      <c r="B146" s="2" t="s">
        <v>2224</v>
      </c>
      <c r="C146" s="2" t="n">
        <v>5</v>
      </c>
      <c r="D146" s="2" t="s">
        <v>1892</v>
      </c>
      <c r="E146" s="2" t="s">
        <v>35</v>
      </c>
      <c r="F146" s="2" t="s">
        <v>2234</v>
      </c>
      <c r="G146" s="2" t="s">
        <v>1937</v>
      </c>
      <c r="H146" s="2" t="s">
        <v>2224</v>
      </c>
      <c r="I146" s="2" t="s">
        <v>1105</v>
      </c>
      <c r="J146" s="2" t="s">
        <v>2226</v>
      </c>
    </row>
    <row r="147" customFormat="false" ht="15" hidden="false" customHeight="false" outlineLevel="0" collapsed="false">
      <c r="A147" s="2" t="s">
        <v>2235</v>
      </c>
      <c r="B147" s="2" t="s">
        <v>2236</v>
      </c>
      <c r="C147" s="2" t="n">
        <v>1</v>
      </c>
      <c r="D147" s="2" t="s">
        <v>1879</v>
      </c>
      <c r="E147" s="2" t="s">
        <v>33</v>
      </c>
      <c r="F147" s="2" t="s">
        <v>2237</v>
      </c>
      <c r="G147" s="2" t="s">
        <v>1937</v>
      </c>
      <c r="H147" s="2" t="s">
        <v>2236</v>
      </c>
      <c r="I147" s="2" t="s">
        <v>557</v>
      </c>
      <c r="J147" s="2" t="s">
        <v>2238</v>
      </c>
    </row>
    <row r="148" customFormat="false" ht="15" hidden="false" customHeight="false" outlineLevel="0" collapsed="false">
      <c r="A148" s="2" t="s">
        <v>2239</v>
      </c>
      <c r="B148" s="2" t="s">
        <v>2236</v>
      </c>
      <c r="C148" s="2" t="n">
        <v>2</v>
      </c>
      <c r="D148" s="2" t="s">
        <v>1884</v>
      </c>
      <c r="E148" s="2" t="s">
        <v>34</v>
      </c>
      <c r="F148" s="2" t="s">
        <v>2240</v>
      </c>
      <c r="G148" s="2" t="s">
        <v>1937</v>
      </c>
      <c r="H148" s="2" t="s">
        <v>2236</v>
      </c>
      <c r="I148" s="2" t="s">
        <v>868</v>
      </c>
      <c r="J148" s="2" t="s">
        <v>2238</v>
      </c>
    </row>
    <row r="149" customFormat="false" ht="15" hidden="false" customHeight="false" outlineLevel="0" collapsed="false">
      <c r="A149" s="2" t="s">
        <v>2241</v>
      </c>
      <c r="B149" s="2" t="s">
        <v>2236</v>
      </c>
      <c r="C149" s="2" t="n">
        <v>3</v>
      </c>
      <c r="D149" s="2" t="s">
        <v>1887</v>
      </c>
      <c r="E149" s="2" t="s">
        <v>35</v>
      </c>
      <c r="F149" s="2" t="s">
        <v>2242</v>
      </c>
      <c r="G149" s="2" t="s">
        <v>1937</v>
      </c>
      <c r="H149" s="2" t="s">
        <v>2236</v>
      </c>
      <c r="I149" s="2" t="s">
        <v>1105</v>
      </c>
      <c r="J149" s="2" t="s">
        <v>2238</v>
      </c>
    </row>
    <row r="150" customFormat="false" ht="15" hidden="false" customHeight="false" outlineLevel="0" collapsed="false">
      <c r="A150" s="2" t="s">
        <v>2243</v>
      </c>
      <c r="B150" s="2" t="s">
        <v>2236</v>
      </c>
      <c r="C150" s="2" t="n">
        <v>4</v>
      </c>
      <c r="D150" s="2" t="s">
        <v>1887</v>
      </c>
      <c r="E150" s="2" t="s">
        <v>35</v>
      </c>
      <c r="F150" s="2" t="s">
        <v>2244</v>
      </c>
      <c r="G150" s="2" t="s">
        <v>1937</v>
      </c>
      <c r="H150" s="2" t="s">
        <v>2236</v>
      </c>
      <c r="I150" s="2" t="s">
        <v>1105</v>
      </c>
      <c r="J150" s="2" t="s">
        <v>2238</v>
      </c>
    </row>
    <row r="151" customFormat="false" ht="15" hidden="false" customHeight="false" outlineLevel="0" collapsed="false">
      <c r="A151" s="2" t="s">
        <v>2245</v>
      </c>
      <c r="B151" s="2" t="s">
        <v>2236</v>
      </c>
      <c r="C151" s="2" t="n">
        <v>5</v>
      </c>
      <c r="D151" s="2" t="s">
        <v>1892</v>
      </c>
      <c r="E151" s="2" t="s">
        <v>35</v>
      </c>
      <c r="F151" s="2" t="s">
        <v>2246</v>
      </c>
      <c r="G151" s="2" t="s">
        <v>1937</v>
      </c>
      <c r="H151" s="2" t="s">
        <v>2236</v>
      </c>
      <c r="I151" s="2" t="s">
        <v>1105</v>
      </c>
      <c r="J151" s="2" t="s">
        <v>2238</v>
      </c>
    </row>
    <row r="152" customFormat="false" ht="15" hidden="false" customHeight="false" outlineLevel="0" collapsed="false">
      <c r="A152" s="2" t="s">
        <v>2247</v>
      </c>
      <c r="B152" s="2" t="s">
        <v>2248</v>
      </c>
      <c r="C152" s="2" t="n">
        <v>1</v>
      </c>
      <c r="D152" s="2" t="s">
        <v>1879</v>
      </c>
      <c r="E152" s="2" t="s">
        <v>33</v>
      </c>
      <c r="F152" s="2" t="s">
        <v>2249</v>
      </c>
      <c r="G152" s="2" t="s">
        <v>2250</v>
      </c>
      <c r="H152" s="2" t="s">
        <v>2248</v>
      </c>
      <c r="I152" s="2" t="s">
        <v>557</v>
      </c>
      <c r="J152" s="2" t="s">
        <v>2251</v>
      </c>
    </row>
    <row r="153" customFormat="false" ht="15" hidden="false" customHeight="false" outlineLevel="0" collapsed="false">
      <c r="A153" s="2" t="s">
        <v>2252</v>
      </c>
      <c r="B153" s="2" t="s">
        <v>2248</v>
      </c>
      <c r="C153" s="2" t="n">
        <v>2</v>
      </c>
      <c r="D153" s="2" t="s">
        <v>1884</v>
      </c>
      <c r="E153" s="2" t="s">
        <v>34</v>
      </c>
      <c r="F153" s="2" t="s">
        <v>2253</v>
      </c>
      <c r="G153" s="2" t="s">
        <v>2250</v>
      </c>
      <c r="H153" s="2" t="s">
        <v>2248</v>
      </c>
      <c r="I153" s="2" t="s">
        <v>856</v>
      </c>
      <c r="J153" s="2" t="s">
        <v>2251</v>
      </c>
    </row>
    <row r="154" customFormat="false" ht="15" hidden="false" customHeight="false" outlineLevel="0" collapsed="false">
      <c r="A154" s="2" t="s">
        <v>2254</v>
      </c>
      <c r="B154" s="2" t="s">
        <v>2248</v>
      </c>
      <c r="C154" s="2" t="n">
        <v>3</v>
      </c>
      <c r="D154" s="2" t="s">
        <v>1887</v>
      </c>
      <c r="E154" s="2" t="s">
        <v>35</v>
      </c>
      <c r="F154" s="2" t="s">
        <v>2255</v>
      </c>
      <c r="G154" s="2" t="s">
        <v>2250</v>
      </c>
      <c r="H154" s="2" t="s">
        <v>2248</v>
      </c>
      <c r="I154" s="2" t="s">
        <v>1105</v>
      </c>
      <c r="J154" s="2" t="s">
        <v>2251</v>
      </c>
    </row>
    <row r="155" customFormat="false" ht="15" hidden="false" customHeight="false" outlineLevel="0" collapsed="false">
      <c r="A155" s="2" t="s">
        <v>2256</v>
      </c>
      <c r="B155" s="2" t="s">
        <v>2248</v>
      </c>
      <c r="C155" s="2" t="n">
        <v>4</v>
      </c>
      <c r="D155" s="2" t="s">
        <v>1887</v>
      </c>
      <c r="E155" s="2" t="s">
        <v>35</v>
      </c>
      <c r="F155" s="2" t="s">
        <v>2257</v>
      </c>
      <c r="G155" s="2" t="s">
        <v>2250</v>
      </c>
      <c r="H155" s="2" t="s">
        <v>2248</v>
      </c>
      <c r="I155" s="2" t="s">
        <v>1105</v>
      </c>
      <c r="J155" s="2" t="s">
        <v>2251</v>
      </c>
    </row>
    <row r="156" customFormat="false" ht="15" hidden="false" customHeight="false" outlineLevel="0" collapsed="false">
      <c r="A156" s="2" t="s">
        <v>2258</v>
      </c>
      <c r="B156" s="2" t="s">
        <v>2248</v>
      </c>
      <c r="C156" s="2" t="n">
        <v>5</v>
      </c>
      <c r="D156" s="2" t="s">
        <v>1892</v>
      </c>
      <c r="E156" s="2" t="s">
        <v>35</v>
      </c>
      <c r="F156" s="2" t="s">
        <v>2259</v>
      </c>
      <c r="G156" s="2" t="s">
        <v>2250</v>
      </c>
      <c r="H156" s="2" t="s">
        <v>2248</v>
      </c>
      <c r="I156" s="2" t="s">
        <v>1105</v>
      </c>
      <c r="J156" s="2" t="s">
        <v>2251</v>
      </c>
    </row>
    <row r="157" customFormat="false" ht="15" hidden="false" customHeight="false" outlineLevel="0" collapsed="false">
      <c r="A157" s="2" t="s">
        <v>2260</v>
      </c>
      <c r="B157" s="2" t="s">
        <v>2261</v>
      </c>
      <c r="C157" s="2" t="n">
        <v>1</v>
      </c>
      <c r="D157" s="2" t="s">
        <v>1879</v>
      </c>
      <c r="E157" s="2" t="s">
        <v>33</v>
      </c>
      <c r="F157" s="2" t="s">
        <v>2262</v>
      </c>
      <c r="G157" s="2" t="s">
        <v>2263</v>
      </c>
      <c r="H157" s="2" t="s">
        <v>2261</v>
      </c>
      <c r="I157" s="2" t="s">
        <v>557</v>
      </c>
      <c r="J157" s="2" t="s">
        <v>2264</v>
      </c>
    </row>
    <row r="158" customFormat="false" ht="15" hidden="false" customHeight="false" outlineLevel="0" collapsed="false">
      <c r="A158" s="2" t="s">
        <v>2265</v>
      </c>
      <c r="B158" s="2" t="s">
        <v>2261</v>
      </c>
      <c r="C158" s="2" t="n">
        <v>2</v>
      </c>
      <c r="D158" s="2" t="s">
        <v>1884</v>
      </c>
      <c r="E158" s="2" t="s">
        <v>34</v>
      </c>
      <c r="F158" s="2" t="s">
        <v>2266</v>
      </c>
      <c r="G158" s="2" t="s">
        <v>1937</v>
      </c>
      <c r="H158" s="2" t="s">
        <v>2261</v>
      </c>
      <c r="I158" s="2" t="s">
        <v>856</v>
      </c>
      <c r="J158" s="2" t="s">
        <v>2264</v>
      </c>
    </row>
    <row r="159" customFormat="false" ht="15" hidden="false" customHeight="false" outlineLevel="0" collapsed="false">
      <c r="A159" s="2" t="s">
        <v>2267</v>
      </c>
      <c r="B159" s="2" t="s">
        <v>2261</v>
      </c>
      <c r="C159" s="2" t="n">
        <v>3</v>
      </c>
      <c r="D159" s="2" t="s">
        <v>1887</v>
      </c>
      <c r="E159" s="2" t="s">
        <v>35</v>
      </c>
      <c r="F159" s="2" t="s">
        <v>2268</v>
      </c>
      <c r="G159" s="2" t="s">
        <v>1937</v>
      </c>
      <c r="H159" s="2" t="s">
        <v>2261</v>
      </c>
      <c r="I159" s="2" t="s">
        <v>1105</v>
      </c>
      <c r="J159" s="2" t="s">
        <v>2264</v>
      </c>
    </row>
    <row r="160" customFormat="false" ht="15" hidden="false" customHeight="false" outlineLevel="0" collapsed="false">
      <c r="A160" s="2" t="s">
        <v>2269</v>
      </c>
      <c r="B160" s="2" t="s">
        <v>2261</v>
      </c>
      <c r="C160" s="2" t="n">
        <v>4</v>
      </c>
      <c r="D160" s="2" t="s">
        <v>1887</v>
      </c>
      <c r="E160" s="2" t="s">
        <v>35</v>
      </c>
      <c r="F160" s="2" t="s">
        <v>2270</v>
      </c>
      <c r="G160" s="2" t="s">
        <v>1937</v>
      </c>
      <c r="H160" s="2" t="s">
        <v>2261</v>
      </c>
      <c r="I160" s="2" t="s">
        <v>1105</v>
      </c>
      <c r="J160" s="2" t="s">
        <v>2264</v>
      </c>
    </row>
    <row r="161" customFormat="false" ht="15" hidden="false" customHeight="false" outlineLevel="0" collapsed="false">
      <c r="A161" s="2" t="s">
        <v>2271</v>
      </c>
      <c r="B161" s="2" t="s">
        <v>2261</v>
      </c>
      <c r="C161" s="2" t="n">
        <v>5</v>
      </c>
      <c r="D161" s="2" t="s">
        <v>1892</v>
      </c>
      <c r="E161" s="2" t="s">
        <v>35</v>
      </c>
      <c r="F161" s="2" t="s">
        <v>2272</v>
      </c>
      <c r="G161" s="2" t="s">
        <v>1937</v>
      </c>
      <c r="H161" s="2" t="s">
        <v>2261</v>
      </c>
      <c r="I161" s="2" t="s">
        <v>1105</v>
      </c>
      <c r="J161" s="2" t="s">
        <v>2264</v>
      </c>
    </row>
    <row r="162" customFormat="false" ht="15" hidden="false" customHeight="false" outlineLevel="0" collapsed="false">
      <c r="A162" s="2" t="s">
        <v>2273</v>
      </c>
      <c r="B162" s="2" t="s">
        <v>913</v>
      </c>
      <c r="C162" s="2" t="n">
        <v>1</v>
      </c>
      <c r="D162" s="2" t="s">
        <v>1879</v>
      </c>
      <c r="E162" s="2" t="s">
        <v>33</v>
      </c>
      <c r="F162" s="2" t="s">
        <v>2274</v>
      </c>
      <c r="G162" s="2" t="s">
        <v>2275</v>
      </c>
      <c r="H162" s="2" t="s">
        <v>913</v>
      </c>
      <c r="I162" s="2" t="s">
        <v>563</v>
      </c>
      <c r="J162" s="2" t="s">
        <v>917</v>
      </c>
    </row>
    <row r="163" customFormat="false" ht="15" hidden="false" customHeight="false" outlineLevel="0" collapsed="false">
      <c r="A163" s="2" t="s">
        <v>2276</v>
      </c>
      <c r="B163" s="2" t="s">
        <v>913</v>
      </c>
      <c r="C163" s="2" t="n">
        <v>2</v>
      </c>
      <c r="D163" s="2" t="s">
        <v>1884</v>
      </c>
      <c r="E163" s="2" t="s">
        <v>34</v>
      </c>
      <c r="F163" s="2" t="s">
        <v>2277</v>
      </c>
      <c r="G163" s="2" t="s">
        <v>2275</v>
      </c>
      <c r="H163" s="2" t="s">
        <v>913</v>
      </c>
      <c r="I163" s="2" t="s">
        <v>912</v>
      </c>
      <c r="J163" s="2" t="s">
        <v>917</v>
      </c>
    </row>
    <row r="164" customFormat="false" ht="15" hidden="false" customHeight="false" outlineLevel="0" collapsed="false">
      <c r="A164" s="2" t="s">
        <v>2278</v>
      </c>
      <c r="B164" s="2" t="s">
        <v>913</v>
      </c>
      <c r="C164" s="2" t="n">
        <v>3</v>
      </c>
      <c r="D164" s="2" t="s">
        <v>1887</v>
      </c>
      <c r="E164" s="2" t="s">
        <v>35</v>
      </c>
      <c r="F164" s="2" t="s">
        <v>2279</v>
      </c>
      <c r="G164" s="2" t="s">
        <v>2275</v>
      </c>
      <c r="H164" s="2" t="s">
        <v>913</v>
      </c>
      <c r="I164" s="2" t="s">
        <v>1125</v>
      </c>
      <c r="J164" s="2" t="s">
        <v>917</v>
      </c>
    </row>
    <row r="165" customFormat="false" ht="15" hidden="false" customHeight="false" outlineLevel="0" collapsed="false">
      <c r="A165" s="2" t="s">
        <v>2280</v>
      </c>
      <c r="B165" s="2" t="s">
        <v>913</v>
      </c>
      <c r="C165" s="2" t="n">
        <v>4</v>
      </c>
      <c r="D165" s="2" t="s">
        <v>1887</v>
      </c>
      <c r="E165" s="2" t="s">
        <v>35</v>
      </c>
      <c r="F165" s="2" t="s">
        <v>2281</v>
      </c>
      <c r="G165" s="2" t="s">
        <v>2275</v>
      </c>
      <c r="H165" s="2" t="s">
        <v>913</v>
      </c>
      <c r="I165" s="2" t="s">
        <v>1125</v>
      </c>
      <c r="J165" s="2" t="s">
        <v>917</v>
      </c>
    </row>
    <row r="166" customFormat="false" ht="15" hidden="false" customHeight="false" outlineLevel="0" collapsed="false">
      <c r="A166" s="2" t="s">
        <v>2282</v>
      </c>
      <c r="B166" s="2" t="s">
        <v>913</v>
      </c>
      <c r="C166" s="2" t="n">
        <v>5</v>
      </c>
      <c r="D166" s="2" t="s">
        <v>1892</v>
      </c>
      <c r="E166" s="2" t="s">
        <v>35</v>
      </c>
      <c r="F166" s="2" t="s">
        <v>2283</v>
      </c>
      <c r="G166" s="2" t="s">
        <v>2275</v>
      </c>
      <c r="H166" s="2" t="s">
        <v>913</v>
      </c>
      <c r="I166" s="2" t="s">
        <v>1125</v>
      </c>
      <c r="J166" s="2" t="s">
        <v>917</v>
      </c>
    </row>
    <row r="167" customFormat="false" ht="15" hidden="false" customHeight="false" outlineLevel="0" collapsed="false">
      <c r="A167" s="2" t="s">
        <v>2284</v>
      </c>
      <c r="B167" s="2" t="s">
        <v>2285</v>
      </c>
      <c r="C167" s="2" t="n">
        <v>1</v>
      </c>
      <c r="D167" s="2" t="s">
        <v>1879</v>
      </c>
      <c r="E167" s="2" t="s">
        <v>33</v>
      </c>
      <c r="F167" s="2" t="s">
        <v>2286</v>
      </c>
      <c r="G167" s="2" t="s">
        <v>1937</v>
      </c>
      <c r="H167" s="2" t="s">
        <v>2285</v>
      </c>
      <c r="I167" s="2" t="s">
        <v>563</v>
      </c>
      <c r="J167" s="2" t="s">
        <v>2287</v>
      </c>
    </row>
    <row r="168" customFormat="false" ht="15" hidden="false" customHeight="false" outlineLevel="0" collapsed="false">
      <c r="A168" s="2" t="s">
        <v>2288</v>
      </c>
      <c r="B168" s="2" t="s">
        <v>2285</v>
      </c>
      <c r="C168" s="2" t="n">
        <v>2</v>
      </c>
      <c r="D168" s="2" t="s">
        <v>1884</v>
      </c>
      <c r="E168" s="2" t="s">
        <v>34</v>
      </c>
      <c r="F168" s="2" t="s">
        <v>2289</v>
      </c>
      <c r="G168" s="2" t="s">
        <v>1937</v>
      </c>
      <c r="H168" s="2" t="s">
        <v>2285</v>
      </c>
      <c r="I168" s="2" t="s">
        <v>925</v>
      </c>
      <c r="J168" s="2" t="s">
        <v>2287</v>
      </c>
    </row>
    <row r="169" customFormat="false" ht="15" hidden="false" customHeight="false" outlineLevel="0" collapsed="false">
      <c r="A169" s="2" t="s">
        <v>2290</v>
      </c>
      <c r="B169" s="2" t="s">
        <v>2285</v>
      </c>
      <c r="C169" s="2" t="n">
        <v>3</v>
      </c>
      <c r="D169" s="2" t="s">
        <v>1887</v>
      </c>
      <c r="E169" s="2" t="s">
        <v>35</v>
      </c>
      <c r="F169" s="2" t="s">
        <v>2291</v>
      </c>
      <c r="G169" s="2" t="s">
        <v>1937</v>
      </c>
      <c r="H169" s="2" t="s">
        <v>2285</v>
      </c>
      <c r="I169" s="2" t="s">
        <v>1130</v>
      </c>
      <c r="J169" s="2" t="s">
        <v>2287</v>
      </c>
    </row>
    <row r="170" customFormat="false" ht="15" hidden="false" customHeight="false" outlineLevel="0" collapsed="false">
      <c r="A170" s="2" t="s">
        <v>2292</v>
      </c>
      <c r="B170" s="2" t="s">
        <v>2285</v>
      </c>
      <c r="C170" s="2" t="n">
        <v>4</v>
      </c>
      <c r="D170" s="2" t="s">
        <v>1887</v>
      </c>
      <c r="E170" s="2" t="s">
        <v>35</v>
      </c>
      <c r="F170" s="2" t="s">
        <v>2293</v>
      </c>
      <c r="G170" s="2" t="s">
        <v>1937</v>
      </c>
      <c r="H170" s="2" t="s">
        <v>2285</v>
      </c>
      <c r="I170" s="2" t="s">
        <v>1130</v>
      </c>
      <c r="J170" s="2" t="s">
        <v>2287</v>
      </c>
    </row>
    <row r="171" customFormat="false" ht="15" hidden="false" customHeight="false" outlineLevel="0" collapsed="false">
      <c r="A171" s="2" t="s">
        <v>2294</v>
      </c>
      <c r="B171" s="2" t="s">
        <v>2285</v>
      </c>
      <c r="C171" s="2" t="n">
        <v>5</v>
      </c>
      <c r="D171" s="2" t="s">
        <v>1892</v>
      </c>
      <c r="E171" s="2" t="s">
        <v>35</v>
      </c>
      <c r="F171" s="2" t="s">
        <v>2295</v>
      </c>
      <c r="G171" s="2" t="s">
        <v>1937</v>
      </c>
      <c r="H171" s="2" t="s">
        <v>2285</v>
      </c>
      <c r="I171" s="2" t="s">
        <v>1130</v>
      </c>
      <c r="J171" s="2" t="s">
        <v>2287</v>
      </c>
    </row>
    <row r="172" customFormat="false" ht="15" hidden="false" customHeight="false" outlineLevel="0" collapsed="false">
      <c r="A172" s="2" t="s">
        <v>2296</v>
      </c>
      <c r="B172" s="2" t="s">
        <v>2297</v>
      </c>
      <c r="C172" s="2" t="n">
        <v>1</v>
      </c>
      <c r="D172" s="2" t="s">
        <v>1879</v>
      </c>
      <c r="E172" s="2" t="s">
        <v>33</v>
      </c>
      <c r="F172" s="2" t="s">
        <v>2298</v>
      </c>
      <c r="G172" s="2" t="s">
        <v>1937</v>
      </c>
      <c r="H172" s="2" t="s">
        <v>2297</v>
      </c>
      <c r="I172" s="2" t="s">
        <v>563</v>
      </c>
      <c r="J172" s="2" t="s">
        <v>936</v>
      </c>
    </row>
    <row r="173" customFormat="false" ht="15" hidden="false" customHeight="false" outlineLevel="0" collapsed="false">
      <c r="A173" s="2" t="s">
        <v>2299</v>
      </c>
      <c r="B173" s="2" t="s">
        <v>2297</v>
      </c>
      <c r="C173" s="2" t="n">
        <v>2</v>
      </c>
      <c r="D173" s="2" t="s">
        <v>1884</v>
      </c>
      <c r="E173" s="2" t="s">
        <v>34</v>
      </c>
      <c r="F173" s="2" t="s">
        <v>2300</v>
      </c>
      <c r="G173" s="2" t="s">
        <v>1937</v>
      </c>
      <c r="H173" s="2" t="s">
        <v>2297</v>
      </c>
      <c r="I173" s="2" t="s">
        <v>932</v>
      </c>
      <c r="J173" s="2" t="s">
        <v>936</v>
      </c>
    </row>
    <row r="174" customFormat="false" ht="15" hidden="false" customHeight="false" outlineLevel="0" collapsed="false">
      <c r="A174" s="2" t="s">
        <v>2301</v>
      </c>
      <c r="B174" s="2" t="s">
        <v>2297</v>
      </c>
      <c r="C174" s="2" t="n">
        <v>3</v>
      </c>
      <c r="D174" s="2" t="s">
        <v>1887</v>
      </c>
      <c r="E174" s="2" t="s">
        <v>35</v>
      </c>
      <c r="F174" s="2" t="s">
        <v>2302</v>
      </c>
      <c r="G174" s="2" t="s">
        <v>1937</v>
      </c>
      <c r="H174" s="2" t="s">
        <v>2297</v>
      </c>
      <c r="I174" s="2" t="s">
        <v>1130</v>
      </c>
      <c r="J174" s="2" t="s">
        <v>936</v>
      </c>
    </row>
    <row r="175" customFormat="false" ht="15" hidden="false" customHeight="false" outlineLevel="0" collapsed="false">
      <c r="A175" s="2" t="s">
        <v>2303</v>
      </c>
      <c r="B175" s="2" t="s">
        <v>2297</v>
      </c>
      <c r="C175" s="2" t="n">
        <v>4</v>
      </c>
      <c r="D175" s="2" t="s">
        <v>1887</v>
      </c>
      <c r="E175" s="2" t="s">
        <v>35</v>
      </c>
      <c r="F175" s="2" t="s">
        <v>2304</v>
      </c>
      <c r="G175" s="2" t="s">
        <v>1937</v>
      </c>
      <c r="H175" s="2" t="s">
        <v>2297</v>
      </c>
      <c r="I175" s="2" t="s">
        <v>1130</v>
      </c>
      <c r="J175" s="2" t="s">
        <v>936</v>
      </c>
    </row>
    <row r="176" customFormat="false" ht="15" hidden="false" customHeight="false" outlineLevel="0" collapsed="false">
      <c r="A176" s="2" t="s">
        <v>2305</v>
      </c>
      <c r="B176" s="2" t="s">
        <v>2297</v>
      </c>
      <c r="C176" s="2" t="n">
        <v>5</v>
      </c>
      <c r="D176" s="2" t="s">
        <v>1892</v>
      </c>
      <c r="E176" s="2" t="s">
        <v>35</v>
      </c>
      <c r="F176" s="2" t="s">
        <v>2306</v>
      </c>
      <c r="G176" s="2" t="s">
        <v>1937</v>
      </c>
      <c r="H176" s="2" t="s">
        <v>2297</v>
      </c>
      <c r="I176" s="2" t="s">
        <v>1130</v>
      </c>
      <c r="J176" s="2" t="s">
        <v>936</v>
      </c>
    </row>
    <row r="177" customFormat="false" ht="15" hidden="false" customHeight="false" outlineLevel="0" collapsed="false">
      <c r="A177" s="2" t="s">
        <v>2307</v>
      </c>
      <c r="B177" s="2" t="s">
        <v>888</v>
      </c>
      <c r="C177" s="2" t="n">
        <v>1</v>
      </c>
      <c r="D177" s="2" t="s">
        <v>1879</v>
      </c>
      <c r="E177" s="2" t="s">
        <v>33</v>
      </c>
      <c r="F177" s="2" t="s">
        <v>2308</v>
      </c>
      <c r="G177" s="2" t="s">
        <v>2275</v>
      </c>
      <c r="H177" s="2" t="s">
        <v>888</v>
      </c>
      <c r="I177" s="2" t="s">
        <v>563</v>
      </c>
      <c r="J177" s="2" t="s">
        <v>2309</v>
      </c>
    </row>
    <row r="178" customFormat="false" ht="15" hidden="false" customHeight="false" outlineLevel="0" collapsed="false">
      <c r="A178" s="2" t="s">
        <v>2310</v>
      </c>
      <c r="B178" s="2" t="s">
        <v>888</v>
      </c>
      <c r="C178" s="2" t="n">
        <v>2</v>
      </c>
      <c r="D178" s="2" t="s">
        <v>1884</v>
      </c>
      <c r="E178" s="2" t="s">
        <v>34</v>
      </c>
      <c r="F178" s="2" t="s">
        <v>2311</v>
      </c>
      <c r="G178" s="2" t="s">
        <v>2275</v>
      </c>
      <c r="H178" s="2" t="s">
        <v>888</v>
      </c>
      <c r="I178" s="2" t="s">
        <v>887</v>
      </c>
      <c r="J178" s="2" t="s">
        <v>2309</v>
      </c>
    </row>
    <row r="179" customFormat="false" ht="15" hidden="false" customHeight="false" outlineLevel="0" collapsed="false">
      <c r="A179" s="2" t="s">
        <v>2312</v>
      </c>
      <c r="B179" s="2" t="s">
        <v>888</v>
      </c>
      <c r="C179" s="2" t="n">
        <v>3</v>
      </c>
      <c r="D179" s="2" t="s">
        <v>1887</v>
      </c>
      <c r="E179" s="2" t="s">
        <v>35</v>
      </c>
      <c r="F179" s="2" t="s">
        <v>2313</v>
      </c>
      <c r="G179" s="2" t="s">
        <v>2275</v>
      </c>
      <c r="H179" s="2" t="s">
        <v>888</v>
      </c>
      <c r="I179" s="2" t="s">
        <v>1118</v>
      </c>
      <c r="J179" s="2" t="s">
        <v>2309</v>
      </c>
    </row>
    <row r="180" customFormat="false" ht="15" hidden="false" customHeight="false" outlineLevel="0" collapsed="false">
      <c r="A180" s="2" t="s">
        <v>2314</v>
      </c>
      <c r="B180" s="2" t="s">
        <v>888</v>
      </c>
      <c r="C180" s="2" t="n">
        <v>4</v>
      </c>
      <c r="D180" s="2" t="s">
        <v>1887</v>
      </c>
      <c r="E180" s="2" t="s">
        <v>35</v>
      </c>
      <c r="F180" s="2" t="s">
        <v>2315</v>
      </c>
      <c r="G180" s="2" t="s">
        <v>2275</v>
      </c>
      <c r="H180" s="2" t="s">
        <v>888</v>
      </c>
      <c r="I180" s="2" t="s">
        <v>1118</v>
      </c>
      <c r="J180" s="2" t="s">
        <v>2309</v>
      </c>
    </row>
    <row r="181" customFormat="false" ht="15" hidden="false" customHeight="false" outlineLevel="0" collapsed="false">
      <c r="A181" s="2" t="s">
        <v>2316</v>
      </c>
      <c r="B181" s="2" t="s">
        <v>888</v>
      </c>
      <c r="C181" s="2" t="n">
        <v>5</v>
      </c>
      <c r="D181" s="2" t="s">
        <v>1892</v>
      </c>
      <c r="E181" s="2" t="s">
        <v>35</v>
      </c>
      <c r="F181" s="2" t="s">
        <v>2317</v>
      </c>
      <c r="G181" s="2" t="s">
        <v>2275</v>
      </c>
      <c r="H181" s="2" t="s">
        <v>888</v>
      </c>
      <c r="I181" s="2" t="s">
        <v>1118</v>
      </c>
      <c r="J181" s="2" t="s">
        <v>2309</v>
      </c>
    </row>
    <row r="182" customFormat="false" ht="15" hidden="false" customHeight="false" outlineLevel="0" collapsed="false">
      <c r="A182" s="2" t="s">
        <v>2318</v>
      </c>
      <c r="B182" s="2" t="s">
        <v>2319</v>
      </c>
      <c r="C182" s="2" t="n">
        <v>1</v>
      </c>
      <c r="D182" s="2" t="s">
        <v>1879</v>
      </c>
      <c r="E182" s="2" t="s">
        <v>33</v>
      </c>
      <c r="F182" s="2" t="s">
        <v>2320</v>
      </c>
      <c r="G182" s="2" t="s">
        <v>2321</v>
      </c>
      <c r="H182" s="2" t="s">
        <v>2319</v>
      </c>
      <c r="I182" s="2" t="s">
        <v>563</v>
      </c>
      <c r="J182" s="2" t="s">
        <v>2322</v>
      </c>
    </row>
    <row r="183" customFormat="false" ht="15" hidden="false" customHeight="false" outlineLevel="0" collapsed="false">
      <c r="A183" s="2" t="s">
        <v>2323</v>
      </c>
      <c r="B183" s="2" t="s">
        <v>2319</v>
      </c>
      <c r="C183" s="2" t="n">
        <v>2</v>
      </c>
      <c r="D183" s="2" t="s">
        <v>1884</v>
      </c>
      <c r="E183" s="2" t="s">
        <v>34</v>
      </c>
      <c r="F183" s="2" t="s">
        <v>2324</v>
      </c>
      <c r="G183" s="2" t="s">
        <v>1937</v>
      </c>
      <c r="H183" s="2" t="s">
        <v>2319</v>
      </c>
      <c r="I183" s="2" t="s">
        <v>887</v>
      </c>
      <c r="J183" s="2" t="s">
        <v>2322</v>
      </c>
    </row>
    <row r="184" customFormat="false" ht="15" hidden="false" customHeight="false" outlineLevel="0" collapsed="false">
      <c r="A184" s="2" t="s">
        <v>2325</v>
      </c>
      <c r="B184" s="2" t="s">
        <v>2319</v>
      </c>
      <c r="C184" s="2" t="n">
        <v>3</v>
      </c>
      <c r="D184" s="2" t="s">
        <v>1887</v>
      </c>
      <c r="E184" s="2" t="s">
        <v>35</v>
      </c>
      <c r="F184" s="2" t="s">
        <v>2326</v>
      </c>
      <c r="G184" s="2" t="s">
        <v>1937</v>
      </c>
      <c r="H184" s="2" t="s">
        <v>2319</v>
      </c>
      <c r="I184" s="2" t="s">
        <v>1118</v>
      </c>
      <c r="J184" s="2" t="s">
        <v>2322</v>
      </c>
    </row>
    <row r="185" customFormat="false" ht="15" hidden="false" customHeight="false" outlineLevel="0" collapsed="false">
      <c r="A185" s="2" t="s">
        <v>2327</v>
      </c>
      <c r="B185" s="2" t="s">
        <v>2319</v>
      </c>
      <c r="C185" s="2" t="n">
        <v>4</v>
      </c>
      <c r="D185" s="2" t="s">
        <v>1887</v>
      </c>
      <c r="E185" s="2" t="s">
        <v>35</v>
      </c>
      <c r="F185" s="2" t="s">
        <v>2328</v>
      </c>
      <c r="G185" s="2" t="s">
        <v>1937</v>
      </c>
      <c r="H185" s="2" t="s">
        <v>2319</v>
      </c>
      <c r="I185" s="2" t="s">
        <v>1118</v>
      </c>
      <c r="J185" s="2" t="s">
        <v>2322</v>
      </c>
    </row>
    <row r="186" customFormat="false" ht="15" hidden="false" customHeight="false" outlineLevel="0" collapsed="false">
      <c r="A186" s="2" t="s">
        <v>2329</v>
      </c>
      <c r="B186" s="2" t="s">
        <v>2319</v>
      </c>
      <c r="C186" s="2" t="n">
        <v>5</v>
      </c>
      <c r="D186" s="2" t="s">
        <v>1892</v>
      </c>
      <c r="E186" s="2" t="s">
        <v>35</v>
      </c>
      <c r="F186" s="2" t="s">
        <v>2330</v>
      </c>
      <c r="G186" s="2" t="s">
        <v>1937</v>
      </c>
      <c r="H186" s="2" t="s">
        <v>2319</v>
      </c>
      <c r="I186" s="2" t="s">
        <v>1118</v>
      </c>
      <c r="J186" s="2" t="s">
        <v>2322</v>
      </c>
    </row>
    <row r="187" customFormat="false" ht="15" hidden="false" customHeight="false" outlineLevel="0" collapsed="false">
      <c r="A187" s="2" t="s">
        <v>2331</v>
      </c>
      <c r="B187" s="2" t="s">
        <v>2332</v>
      </c>
      <c r="C187" s="2" t="n">
        <v>1</v>
      </c>
      <c r="D187" s="2" t="s">
        <v>1879</v>
      </c>
      <c r="E187" s="2" t="s">
        <v>33</v>
      </c>
      <c r="F187" s="2" t="s">
        <v>2333</v>
      </c>
      <c r="G187" s="2" t="s">
        <v>2275</v>
      </c>
      <c r="H187" s="2" t="s">
        <v>2332</v>
      </c>
      <c r="I187" s="2" t="s">
        <v>563</v>
      </c>
      <c r="J187" s="2" t="s">
        <v>2334</v>
      </c>
    </row>
    <row r="188" customFormat="false" ht="15" hidden="false" customHeight="false" outlineLevel="0" collapsed="false">
      <c r="A188" s="2" t="s">
        <v>2335</v>
      </c>
      <c r="B188" s="2" t="s">
        <v>2332</v>
      </c>
      <c r="C188" s="2" t="n">
        <v>2</v>
      </c>
      <c r="D188" s="2" t="s">
        <v>1884</v>
      </c>
      <c r="E188" s="2" t="s">
        <v>34</v>
      </c>
      <c r="F188" s="2" t="s">
        <v>2336</v>
      </c>
      <c r="G188" s="2" t="s">
        <v>2275</v>
      </c>
      <c r="H188" s="2" t="s">
        <v>2332</v>
      </c>
      <c r="I188" s="2" t="s">
        <v>894</v>
      </c>
      <c r="J188" s="2" t="s">
        <v>2334</v>
      </c>
    </row>
    <row r="189" customFormat="false" ht="15" hidden="false" customHeight="false" outlineLevel="0" collapsed="false">
      <c r="A189" s="2" t="s">
        <v>2337</v>
      </c>
      <c r="B189" s="2" t="s">
        <v>2332</v>
      </c>
      <c r="C189" s="2" t="n">
        <v>3</v>
      </c>
      <c r="D189" s="2" t="s">
        <v>1887</v>
      </c>
      <c r="E189" s="2" t="s">
        <v>35</v>
      </c>
      <c r="F189" s="2" t="s">
        <v>2338</v>
      </c>
      <c r="G189" s="2" t="s">
        <v>2275</v>
      </c>
      <c r="H189" s="2" t="s">
        <v>2332</v>
      </c>
      <c r="I189" s="2" t="s">
        <v>1118</v>
      </c>
      <c r="J189" s="2" t="s">
        <v>2334</v>
      </c>
    </row>
    <row r="190" customFormat="false" ht="15" hidden="false" customHeight="false" outlineLevel="0" collapsed="false">
      <c r="A190" s="2" t="s">
        <v>2339</v>
      </c>
      <c r="B190" s="2" t="s">
        <v>2332</v>
      </c>
      <c r="C190" s="2" t="n">
        <v>4</v>
      </c>
      <c r="D190" s="2" t="s">
        <v>1887</v>
      </c>
      <c r="E190" s="2" t="s">
        <v>35</v>
      </c>
      <c r="F190" s="2" t="s">
        <v>2340</v>
      </c>
      <c r="G190" s="2" t="s">
        <v>2275</v>
      </c>
      <c r="H190" s="2" t="s">
        <v>2332</v>
      </c>
      <c r="I190" s="2" t="s">
        <v>1118</v>
      </c>
      <c r="J190" s="2" t="s">
        <v>2334</v>
      </c>
    </row>
    <row r="191" customFormat="false" ht="15" hidden="false" customHeight="false" outlineLevel="0" collapsed="false">
      <c r="A191" s="2" t="s">
        <v>2341</v>
      </c>
      <c r="B191" s="2" t="s">
        <v>2332</v>
      </c>
      <c r="C191" s="2" t="n">
        <v>5</v>
      </c>
      <c r="D191" s="2" t="s">
        <v>1892</v>
      </c>
      <c r="E191" s="2" t="s">
        <v>35</v>
      </c>
      <c r="F191" s="2" t="s">
        <v>2342</v>
      </c>
      <c r="G191" s="2" t="s">
        <v>2275</v>
      </c>
      <c r="H191" s="2" t="s">
        <v>2332</v>
      </c>
      <c r="I191" s="2" t="s">
        <v>1118</v>
      </c>
      <c r="J191" s="2" t="s">
        <v>2334</v>
      </c>
    </row>
    <row r="192" customFormat="false" ht="15" hidden="false" customHeight="false" outlineLevel="0" collapsed="false">
      <c r="A192" s="2" t="s">
        <v>2343</v>
      </c>
      <c r="B192" s="2" t="s">
        <v>2344</v>
      </c>
      <c r="C192" s="2" t="n">
        <v>1</v>
      </c>
      <c r="D192" s="2" t="s">
        <v>1879</v>
      </c>
      <c r="E192" s="2" t="s">
        <v>33</v>
      </c>
      <c r="F192" s="2" t="s">
        <v>2345</v>
      </c>
      <c r="G192" s="2" t="s">
        <v>1937</v>
      </c>
      <c r="H192" s="2" t="s">
        <v>2344</v>
      </c>
      <c r="I192" s="2" t="s">
        <v>563</v>
      </c>
      <c r="J192" s="2" t="s">
        <v>2346</v>
      </c>
    </row>
    <row r="193" customFormat="false" ht="15" hidden="false" customHeight="false" outlineLevel="0" collapsed="false">
      <c r="A193" s="2" t="s">
        <v>2347</v>
      </c>
      <c r="B193" s="2" t="s">
        <v>2344</v>
      </c>
      <c r="C193" s="2" t="n">
        <v>2</v>
      </c>
      <c r="D193" s="2" t="s">
        <v>1884</v>
      </c>
      <c r="E193" s="2" t="s">
        <v>34</v>
      </c>
      <c r="F193" s="2" t="s">
        <v>2348</v>
      </c>
      <c r="G193" s="2" t="s">
        <v>2064</v>
      </c>
      <c r="H193" s="2" t="s">
        <v>2344</v>
      </c>
      <c r="I193" s="2" t="s">
        <v>894</v>
      </c>
      <c r="J193" s="2" t="s">
        <v>2346</v>
      </c>
    </row>
    <row r="194" customFormat="false" ht="15" hidden="false" customHeight="false" outlineLevel="0" collapsed="false">
      <c r="A194" s="2" t="s">
        <v>2349</v>
      </c>
      <c r="B194" s="2" t="s">
        <v>2344</v>
      </c>
      <c r="C194" s="2" t="n">
        <v>3</v>
      </c>
      <c r="D194" s="2" t="s">
        <v>1887</v>
      </c>
      <c r="E194" s="2" t="s">
        <v>35</v>
      </c>
      <c r="F194" s="2" t="s">
        <v>2350</v>
      </c>
      <c r="G194" s="2" t="s">
        <v>2064</v>
      </c>
      <c r="H194" s="2" t="s">
        <v>2344</v>
      </c>
      <c r="I194" s="2" t="s">
        <v>1118</v>
      </c>
      <c r="J194" s="2" t="s">
        <v>2346</v>
      </c>
    </row>
    <row r="195" customFormat="false" ht="15" hidden="false" customHeight="false" outlineLevel="0" collapsed="false">
      <c r="A195" s="2" t="s">
        <v>2351</v>
      </c>
      <c r="B195" s="2" t="s">
        <v>2344</v>
      </c>
      <c r="C195" s="2" t="n">
        <v>4</v>
      </c>
      <c r="D195" s="2" t="s">
        <v>1887</v>
      </c>
      <c r="E195" s="2" t="s">
        <v>35</v>
      </c>
      <c r="F195" s="2" t="s">
        <v>2352</v>
      </c>
      <c r="G195" s="2" t="s">
        <v>1937</v>
      </c>
      <c r="H195" s="2" t="s">
        <v>2344</v>
      </c>
      <c r="I195" s="2" t="s">
        <v>1118</v>
      </c>
      <c r="J195" s="2" t="s">
        <v>2346</v>
      </c>
    </row>
    <row r="196" customFormat="false" ht="15" hidden="false" customHeight="false" outlineLevel="0" collapsed="false">
      <c r="A196" s="2" t="s">
        <v>2353</v>
      </c>
      <c r="B196" s="2" t="s">
        <v>2344</v>
      </c>
      <c r="C196" s="2" t="n">
        <v>5</v>
      </c>
      <c r="D196" s="2" t="s">
        <v>1892</v>
      </c>
      <c r="E196" s="2" t="s">
        <v>35</v>
      </c>
      <c r="F196" s="2" t="s">
        <v>2354</v>
      </c>
      <c r="G196" s="2" t="s">
        <v>2064</v>
      </c>
      <c r="H196" s="2" t="s">
        <v>2344</v>
      </c>
      <c r="I196" s="2" t="s">
        <v>1118</v>
      </c>
      <c r="J196" s="2" t="s">
        <v>2346</v>
      </c>
    </row>
    <row r="197" customFormat="false" ht="15" hidden="false" customHeight="false" outlineLevel="0" collapsed="false">
      <c r="A197" s="2" t="s">
        <v>2355</v>
      </c>
      <c r="B197" s="2" t="s">
        <v>2356</v>
      </c>
      <c r="C197" s="2" t="n">
        <v>1</v>
      </c>
      <c r="D197" s="2" t="s">
        <v>1879</v>
      </c>
      <c r="E197" s="2" t="s">
        <v>33</v>
      </c>
      <c r="F197" s="2" t="s">
        <v>2357</v>
      </c>
      <c r="G197" s="2" t="s">
        <v>1937</v>
      </c>
      <c r="H197" s="2" t="s">
        <v>2356</v>
      </c>
      <c r="I197" s="2" t="s">
        <v>570</v>
      </c>
      <c r="J197" s="2" t="s">
        <v>2358</v>
      </c>
    </row>
    <row r="198" customFormat="false" ht="15" hidden="false" customHeight="false" outlineLevel="0" collapsed="false">
      <c r="A198" s="2" t="s">
        <v>2359</v>
      </c>
      <c r="B198" s="2" t="s">
        <v>2356</v>
      </c>
      <c r="C198" s="2" t="n">
        <v>2</v>
      </c>
      <c r="D198" s="2" t="s">
        <v>1884</v>
      </c>
      <c r="E198" s="2" t="s">
        <v>34</v>
      </c>
      <c r="F198" s="2" t="s">
        <v>2360</v>
      </c>
      <c r="G198" s="2" t="s">
        <v>1937</v>
      </c>
      <c r="H198" s="2" t="s">
        <v>2356</v>
      </c>
      <c r="I198" s="2" t="s">
        <v>1015</v>
      </c>
      <c r="J198" s="2" t="s">
        <v>2358</v>
      </c>
    </row>
    <row r="199" customFormat="false" ht="15" hidden="false" customHeight="false" outlineLevel="0" collapsed="false">
      <c r="A199" s="2" t="s">
        <v>2361</v>
      </c>
      <c r="B199" s="2" t="s">
        <v>2356</v>
      </c>
      <c r="C199" s="2" t="n">
        <v>3</v>
      </c>
      <c r="D199" s="2" t="s">
        <v>1887</v>
      </c>
      <c r="E199" s="2" t="s">
        <v>35</v>
      </c>
      <c r="F199" s="2" t="s">
        <v>2362</v>
      </c>
      <c r="G199" s="2" t="s">
        <v>1937</v>
      </c>
      <c r="H199" s="2" t="s">
        <v>2356</v>
      </c>
      <c r="I199" s="2" t="s">
        <v>1168</v>
      </c>
      <c r="J199" s="2" t="s">
        <v>2358</v>
      </c>
    </row>
    <row r="200" customFormat="false" ht="15" hidden="false" customHeight="false" outlineLevel="0" collapsed="false">
      <c r="A200" s="2" t="s">
        <v>2363</v>
      </c>
      <c r="B200" s="2" t="s">
        <v>2356</v>
      </c>
      <c r="C200" s="2" t="n">
        <v>4</v>
      </c>
      <c r="D200" s="2" t="s">
        <v>1887</v>
      </c>
      <c r="E200" s="2" t="s">
        <v>35</v>
      </c>
      <c r="F200" s="2" t="s">
        <v>2364</v>
      </c>
      <c r="G200" s="2" t="s">
        <v>1937</v>
      </c>
      <c r="H200" s="2" t="s">
        <v>2356</v>
      </c>
      <c r="I200" s="2" t="s">
        <v>1168</v>
      </c>
      <c r="J200" s="2" t="s">
        <v>2358</v>
      </c>
    </row>
    <row r="201" customFormat="false" ht="15" hidden="false" customHeight="false" outlineLevel="0" collapsed="false">
      <c r="A201" s="2" t="s">
        <v>2365</v>
      </c>
      <c r="B201" s="2" t="s">
        <v>2356</v>
      </c>
      <c r="C201" s="2" t="n">
        <v>5</v>
      </c>
      <c r="D201" s="2" t="s">
        <v>1892</v>
      </c>
      <c r="E201" s="2" t="s">
        <v>35</v>
      </c>
      <c r="F201" s="2" t="s">
        <v>2366</v>
      </c>
      <c r="G201" s="2" t="s">
        <v>1937</v>
      </c>
      <c r="H201" s="2" t="s">
        <v>2356</v>
      </c>
      <c r="I201" s="2" t="s">
        <v>1168</v>
      </c>
      <c r="J201" s="2" t="s">
        <v>2358</v>
      </c>
    </row>
    <row r="202" customFormat="false" ht="15" hidden="false" customHeight="false" outlineLevel="0" collapsed="false">
      <c r="A202" s="2" t="s">
        <v>2367</v>
      </c>
      <c r="B202" s="2" t="s">
        <v>2368</v>
      </c>
      <c r="C202" s="2" t="n">
        <v>1</v>
      </c>
      <c r="D202" s="2" t="s">
        <v>1879</v>
      </c>
      <c r="E202" s="2" t="s">
        <v>33</v>
      </c>
      <c r="F202" s="2" t="s">
        <v>2369</v>
      </c>
      <c r="G202" s="2" t="s">
        <v>1937</v>
      </c>
      <c r="H202" s="2" t="s">
        <v>2368</v>
      </c>
      <c r="I202" s="2" t="s">
        <v>570</v>
      </c>
      <c r="J202" s="2" t="s">
        <v>1181</v>
      </c>
    </row>
    <row r="203" customFormat="false" ht="15" hidden="false" customHeight="false" outlineLevel="0" collapsed="false">
      <c r="A203" s="2" t="s">
        <v>2370</v>
      </c>
      <c r="B203" s="2" t="s">
        <v>2368</v>
      </c>
      <c r="C203" s="2" t="n">
        <v>2</v>
      </c>
      <c r="D203" s="2" t="s">
        <v>1884</v>
      </c>
      <c r="E203" s="2" t="s">
        <v>34</v>
      </c>
      <c r="F203" s="2" t="s">
        <v>2371</v>
      </c>
      <c r="G203" s="2" t="s">
        <v>1937</v>
      </c>
      <c r="H203" s="2" t="s">
        <v>2368</v>
      </c>
      <c r="I203" s="2" t="s">
        <v>1015</v>
      </c>
      <c r="J203" s="2" t="s">
        <v>1181</v>
      </c>
    </row>
    <row r="204" customFormat="false" ht="15" hidden="false" customHeight="false" outlineLevel="0" collapsed="false">
      <c r="A204" s="2" t="s">
        <v>2372</v>
      </c>
      <c r="B204" s="2" t="s">
        <v>2368</v>
      </c>
      <c r="C204" s="2" t="n">
        <v>3</v>
      </c>
      <c r="D204" s="2" t="s">
        <v>1887</v>
      </c>
      <c r="E204" s="2" t="s">
        <v>35</v>
      </c>
      <c r="F204" s="2" t="s">
        <v>2373</v>
      </c>
      <c r="G204" s="2" t="s">
        <v>1937</v>
      </c>
      <c r="H204" s="2" t="s">
        <v>2368</v>
      </c>
      <c r="I204" s="2" t="s">
        <v>1175</v>
      </c>
      <c r="J204" s="2" t="s">
        <v>1181</v>
      </c>
    </row>
    <row r="205" customFormat="false" ht="15" hidden="false" customHeight="false" outlineLevel="0" collapsed="false">
      <c r="A205" s="2" t="s">
        <v>2374</v>
      </c>
      <c r="B205" s="2" t="s">
        <v>2368</v>
      </c>
      <c r="C205" s="2" t="n">
        <v>4</v>
      </c>
      <c r="D205" s="2" t="s">
        <v>1887</v>
      </c>
      <c r="E205" s="2" t="s">
        <v>35</v>
      </c>
      <c r="F205" s="2" t="s">
        <v>2375</v>
      </c>
      <c r="G205" s="2" t="s">
        <v>1937</v>
      </c>
      <c r="H205" s="2" t="s">
        <v>2368</v>
      </c>
      <c r="I205" s="2" t="s">
        <v>1175</v>
      </c>
      <c r="J205" s="2" t="s">
        <v>1181</v>
      </c>
    </row>
    <row r="206" customFormat="false" ht="15" hidden="false" customHeight="false" outlineLevel="0" collapsed="false">
      <c r="A206" s="2" t="s">
        <v>2376</v>
      </c>
      <c r="B206" s="2" t="s">
        <v>2368</v>
      </c>
      <c r="C206" s="2" t="n">
        <v>5</v>
      </c>
      <c r="D206" s="2" t="s">
        <v>1892</v>
      </c>
      <c r="E206" s="2" t="s">
        <v>35</v>
      </c>
      <c r="F206" s="2" t="s">
        <v>2377</v>
      </c>
      <c r="G206" s="2" t="s">
        <v>1937</v>
      </c>
      <c r="H206" s="2" t="s">
        <v>2368</v>
      </c>
      <c r="I206" s="2" t="s">
        <v>1175</v>
      </c>
      <c r="J206" s="2" t="s">
        <v>1181</v>
      </c>
    </row>
    <row r="207" customFormat="false" ht="15" hidden="false" customHeight="false" outlineLevel="0" collapsed="false">
      <c r="A207" s="2" t="s">
        <v>2378</v>
      </c>
      <c r="B207" s="2" t="s">
        <v>1192</v>
      </c>
      <c r="C207" s="2" t="n">
        <v>1</v>
      </c>
      <c r="D207" s="2" t="s">
        <v>1879</v>
      </c>
      <c r="E207" s="2" t="s">
        <v>33</v>
      </c>
      <c r="F207" s="2" t="s">
        <v>2379</v>
      </c>
      <c r="G207" s="2" t="s">
        <v>2380</v>
      </c>
      <c r="H207" s="2" t="s">
        <v>1192</v>
      </c>
      <c r="I207" s="2" t="s">
        <v>570</v>
      </c>
      <c r="J207" s="2" t="s">
        <v>1196</v>
      </c>
    </row>
    <row r="208" customFormat="false" ht="15" hidden="false" customHeight="false" outlineLevel="0" collapsed="false">
      <c r="A208" s="2" t="s">
        <v>2381</v>
      </c>
      <c r="B208" s="2" t="s">
        <v>1192</v>
      </c>
      <c r="C208" s="2" t="n">
        <v>2</v>
      </c>
      <c r="D208" s="2" t="s">
        <v>1884</v>
      </c>
      <c r="E208" s="2" t="s">
        <v>34</v>
      </c>
      <c r="F208" s="2" t="s">
        <v>2382</v>
      </c>
      <c r="G208" s="2" t="s">
        <v>2380</v>
      </c>
      <c r="H208" s="2" t="s">
        <v>1192</v>
      </c>
      <c r="I208" s="2" t="s">
        <v>1021</v>
      </c>
      <c r="J208" s="2" t="s">
        <v>1196</v>
      </c>
    </row>
    <row r="209" customFormat="false" ht="15" hidden="false" customHeight="false" outlineLevel="0" collapsed="false">
      <c r="A209" s="2" t="s">
        <v>2383</v>
      </c>
      <c r="B209" s="2" t="s">
        <v>1192</v>
      </c>
      <c r="C209" s="2" t="n">
        <v>3</v>
      </c>
      <c r="D209" s="2" t="s">
        <v>1887</v>
      </c>
      <c r="E209" s="2" t="s">
        <v>35</v>
      </c>
      <c r="F209" s="2" t="s">
        <v>2384</v>
      </c>
      <c r="G209" s="2" t="s">
        <v>2380</v>
      </c>
      <c r="H209" s="2" t="s">
        <v>1192</v>
      </c>
      <c r="I209" s="2" t="s">
        <v>1191</v>
      </c>
      <c r="J209" s="2" t="s">
        <v>1196</v>
      </c>
    </row>
    <row r="210" customFormat="false" ht="15" hidden="false" customHeight="false" outlineLevel="0" collapsed="false">
      <c r="A210" s="2" t="s">
        <v>2385</v>
      </c>
      <c r="B210" s="2" t="s">
        <v>1192</v>
      </c>
      <c r="C210" s="2" t="n">
        <v>4</v>
      </c>
      <c r="D210" s="2" t="s">
        <v>1887</v>
      </c>
      <c r="E210" s="2" t="s">
        <v>35</v>
      </c>
      <c r="F210" s="2" t="s">
        <v>2386</v>
      </c>
      <c r="G210" s="2" t="s">
        <v>2380</v>
      </c>
      <c r="H210" s="2" t="s">
        <v>1192</v>
      </c>
      <c r="I210" s="2" t="s">
        <v>1191</v>
      </c>
      <c r="J210" s="2" t="s">
        <v>1196</v>
      </c>
    </row>
    <row r="211" customFormat="false" ht="15" hidden="false" customHeight="false" outlineLevel="0" collapsed="false">
      <c r="A211" s="2" t="s">
        <v>2387</v>
      </c>
      <c r="B211" s="2" t="s">
        <v>1192</v>
      </c>
      <c r="C211" s="2" t="n">
        <v>5</v>
      </c>
      <c r="D211" s="2" t="s">
        <v>1892</v>
      </c>
      <c r="E211" s="2" t="s">
        <v>35</v>
      </c>
      <c r="F211" s="2" t="s">
        <v>2388</v>
      </c>
      <c r="G211" s="2" t="s">
        <v>2380</v>
      </c>
      <c r="H211" s="2" t="s">
        <v>1192</v>
      </c>
      <c r="I211" s="2" t="s">
        <v>1191</v>
      </c>
      <c r="J211" s="2" t="s">
        <v>1196</v>
      </c>
    </row>
    <row r="212" customFormat="false" ht="15" hidden="false" customHeight="false" outlineLevel="0" collapsed="false">
      <c r="A212" s="2" t="s">
        <v>2389</v>
      </c>
      <c r="B212" s="2" t="s">
        <v>2390</v>
      </c>
      <c r="C212" s="2" t="n">
        <v>1</v>
      </c>
      <c r="D212" s="2" t="s">
        <v>1879</v>
      </c>
      <c r="E212" s="2" t="s">
        <v>33</v>
      </c>
      <c r="F212" s="2" t="s">
        <v>2391</v>
      </c>
      <c r="G212" s="2" t="s">
        <v>2392</v>
      </c>
      <c r="H212" s="2" t="s">
        <v>2390</v>
      </c>
      <c r="I212" s="2" t="s">
        <v>570</v>
      </c>
      <c r="J212" s="2" t="s">
        <v>1166</v>
      </c>
    </row>
    <row r="213" customFormat="false" ht="15" hidden="false" customHeight="false" outlineLevel="0" collapsed="false">
      <c r="A213" s="2" t="s">
        <v>2393</v>
      </c>
      <c r="B213" s="2" t="s">
        <v>2390</v>
      </c>
      <c r="C213" s="2" t="n">
        <v>2</v>
      </c>
      <c r="D213" s="2" t="s">
        <v>1884</v>
      </c>
      <c r="E213" s="2" t="s">
        <v>34</v>
      </c>
      <c r="F213" s="2" t="s">
        <v>2394</v>
      </c>
      <c r="G213" s="2" t="s">
        <v>2392</v>
      </c>
      <c r="H213" s="2" t="s">
        <v>2390</v>
      </c>
      <c r="I213" s="2" t="s">
        <v>1015</v>
      </c>
      <c r="J213" s="2" t="s">
        <v>1166</v>
      </c>
    </row>
    <row r="214" customFormat="false" ht="15" hidden="false" customHeight="false" outlineLevel="0" collapsed="false">
      <c r="A214" s="2" t="s">
        <v>2395</v>
      </c>
      <c r="B214" s="2" t="s">
        <v>2390</v>
      </c>
      <c r="C214" s="2" t="n">
        <v>3</v>
      </c>
      <c r="D214" s="2" t="s">
        <v>1887</v>
      </c>
      <c r="E214" s="2" t="s">
        <v>35</v>
      </c>
      <c r="F214" s="2" t="s">
        <v>2396</v>
      </c>
      <c r="G214" s="2" t="s">
        <v>2392</v>
      </c>
      <c r="H214" s="2" t="s">
        <v>2390</v>
      </c>
      <c r="I214" s="2" t="s">
        <v>1161</v>
      </c>
      <c r="J214" s="2" t="s">
        <v>1166</v>
      </c>
    </row>
    <row r="215" customFormat="false" ht="15" hidden="false" customHeight="false" outlineLevel="0" collapsed="false">
      <c r="A215" s="2" t="s">
        <v>2397</v>
      </c>
      <c r="B215" s="2" t="s">
        <v>2390</v>
      </c>
      <c r="C215" s="2" t="n">
        <v>4</v>
      </c>
      <c r="D215" s="2" t="s">
        <v>1887</v>
      </c>
      <c r="E215" s="2" t="s">
        <v>35</v>
      </c>
      <c r="F215" s="2" t="s">
        <v>2398</v>
      </c>
      <c r="G215" s="2" t="s">
        <v>2392</v>
      </c>
      <c r="H215" s="2" t="s">
        <v>2390</v>
      </c>
      <c r="I215" s="2" t="s">
        <v>1161</v>
      </c>
      <c r="J215" s="2" t="s">
        <v>1166</v>
      </c>
    </row>
    <row r="216" customFormat="false" ht="15" hidden="false" customHeight="false" outlineLevel="0" collapsed="false">
      <c r="A216" s="2" t="s">
        <v>2399</v>
      </c>
      <c r="B216" s="2" t="s">
        <v>2390</v>
      </c>
      <c r="C216" s="2" t="n">
        <v>5</v>
      </c>
      <c r="D216" s="2" t="s">
        <v>1892</v>
      </c>
      <c r="E216" s="2" t="s">
        <v>35</v>
      </c>
      <c r="F216" s="2" t="s">
        <v>2400</v>
      </c>
      <c r="G216" s="2" t="s">
        <v>2392</v>
      </c>
      <c r="H216" s="2" t="s">
        <v>2390</v>
      </c>
      <c r="I216" s="2" t="s">
        <v>1161</v>
      </c>
      <c r="J216" s="2" t="s">
        <v>1166</v>
      </c>
    </row>
    <row r="217" customFormat="false" ht="15" hidden="false" customHeight="false" outlineLevel="0" collapsed="false">
      <c r="A217" s="2" t="s">
        <v>2401</v>
      </c>
      <c r="B217" s="2" t="s">
        <v>2402</v>
      </c>
      <c r="C217" s="2" t="n">
        <v>1</v>
      </c>
      <c r="D217" s="2" t="s">
        <v>1879</v>
      </c>
      <c r="E217" s="2" t="s">
        <v>33</v>
      </c>
      <c r="F217" s="2" t="s">
        <v>2403</v>
      </c>
      <c r="G217" s="2" t="s">
        <v>2392</v>
      </c>
      <c r="H217" s="2" t="s">
        <v>2402</v>
      </c>
      <c r="I217" s="2" t="s">
        <v>570</v>
      </c>
      <c r="J217" s="2" t="s">
        <v>2404</v>
      </c>
    </row>
    <row r="218" customFormat="false" ht="15" hidden="false" customHeight="false" outlineLevel="0" collapsed="false">
      <c r="A218" s="2" t="s">
        <v>2405</v>
      </c>
      <c r="B218" s="2" t="s">
        <v>2402</v>
      </c>
      <c r="C218" s="2" t="n">
        <v>2</v>
      </c>
      <c r="D218" s="2" t="s">
        <v>1884</v>
      </c>
      <c r="E218" s="2" t="s">
        <v>34</v>
      </c>
      <c r="F218" s="2" t="s">
        <v>2406</v>
      </c>
      <c r="G218" s="2" t="s">
        <v>2392</v>
      </c>
      <c r="H218" s="2" t="s">
        <v>2402</v>
      </c>
      <c r="I218" s="2" t="s">
        <v>1015</v>
      </c>
      <c r="J218" s="2" t="s">
        <v>2404</v>
      </c>
    </row>
    <row r="219" customFormat="false" ht="15" hidden="false" customHeight="false" outlineLevel="0" collapsed="false">
      <c r="A219" s="2" t="s">
        <v>2407</v>
      </c>
      <c r="B219" s="2" t="s">
        <v>2402</v>
      </c>
      <c r="C219" s="2" t="n">
        <v>3</v>
      </c>
      <c r="D219" s="2" t="s">
        <v>1887</v>
      </c>
      <c r="E219" s="2" t="s">
        <v>35</v>
      </c>
      <c r="F219" s="2" t="s">
        <v>2408</v>
      </c>
      <c r="G219" s="2" t="s">
        <v>2392</v>
      </c>
      <c r="H219" s="2" t="s">
        <v>2402</v>
      </c>
      <c r="I219" s="2" t="s">
        <v>1168</v>
      </c>
      <c r="J219" s="2" t="s">
        <v>2404</v>
      </c>
    </row>
    <row r="220" customFormat="false" ht="15" hidden="false" customHeight="false" outlineLevel="0" collapsed="false">
      <c r="A220" s="2" t="s">
        <v>2409</v>
      </c>
      <c r="B220" s="2" t="s">
        <v>2402</v>
      </c>
      <c r="C220" s="2" t="n">
        <v>4</v>
      </c>
      <c r="D220" s="2" t="s">
        <v>1887</v>
      </c>
      <c r="E220" s="2" t="s">
        <v>35</v>
      </c>
      <c r="F220" s="2" t="s">
        <v>2410</v>
      </c>
      <c r="G220" s="2" t="s">
        <v>2392</v>
      </c>
      <c r="H220" s="2" t="s">
        <v>2402</v>
      </c>
      <c r="I220" s="2" t="s">
        <v>1168</v>
      </c>
      <c r="J220" s="2" t="s">
        <v>2404</v>
      </c>
    </row>
    <row r="221" customFormat="false" ht="15" hidden="false" customHeight="false" outlineLevel="0" collapsed="false">
      <c r="A221" s="2" t="s">
        <v>2411</v>
      </c>
      <c r="B221" s="2" t="s">
        <v>2402</v>
      </c>
      <c r="C221" s="2" t="n">
        <v>5</v>
      </c>
      <c r="D221" s="2" t="s">
        <v>1892</v>
      </c>
      <c r="E221" s="2" t="s">
        <v>35</v>
      </c>
      <c r="F221" s="2" t="s">
        <v>2412</v>
      </c>
      <c r="G221" s="2" t="s">
        <v>2392</v>
      </c>
      <c r="H221" s="2" t="s">
        <v>2402</v>
      </c>
      <c r="I221" s="2" t="s">
        <v>1168</v>
      </c>
      <c r="J221" s="2" t="s">
        <v>2404</v>
      </c>
    </row>
    <row r="222" customFormat="false" ht="15" hidden="false" customHeight="false" outlineLevel="0" collapsed="false">
      <c r="A222" s="2" t="s">
        <v>2413</v>
      </c>
      <c r="B222" s="2" t="s">
        <v>2414</v>
      </c>
      <c r="C222" s="2" t="n">
        <v>1</v>
      </c>
      <c r="D222" s="2" t="s">
        <v>1879</v>
      </c>
      <c r="E222" s="2" t="s">
        <v>33</v>
      </c>
      <c r="F222" s="2" t="s">
        <v>2415</v>
      </c>
      <c r="G222" s="2" t="s">
        <v>1937</v>
      </c>
      <c r="H222" s="2" t="s">
        <v>2414</v>
      </c>
      <c r="I222" s="2" t="s">
        <v>570</v>
      </c>
      <c r="J222" s="2" t="s">
        <v>2416</v>
      </c>
    </row>
    <row r="223" customFormat="false" ht="15" hidden="false" customHeight="false" outlineLevel="0" collapsed="false">
      <c r="A223" s="2" t="s">
        <v>2417</v>
      </c>
      <c r="B223" s="2" t="s">
        <v>2414</v>
      </c>
      <c r="C223" s="2" t="n">
        <v>2</v>
      </c>
      <c r="D223" s="2" t="s">
        <v>1884</v>
      </c>
      <c r="E223" s="2" t="s">
        <v>34</v>
      </c>
      <c r="F223" s="2" t="s">
        <v>2418</v>
      </c>
      <c r="G223" s="2" t="s">
        <v>1937</v>
      </c>
      <c r="H223" s="2" t="s">
        <v>2414</v>
      </c>
      <c r="I223" s="2" t="s">
        <v>1015</v>
      </c>
      <c r="J223" s="2" t="s">
        <v>2416</v>
      </c>
    </row>
    <row r="224" customFormat="false" ht="15" hidden="false" customHeight="false" outlineLevel="0" collapsed="false">
      <c r="A224" s="2" t="s">
        <v>2419</v>
      </c>
      <c r="B224" s="2" t="s">
        <v>2414</v>
      </c>
      <c r="C224" s="2" t="n">
        <v>3</v>
      </c>
      <c r="D224" s="2" t="s">
        <v>1887</v>
      </c>
      <c r="E224" s="2" t="s">
        <v>35</v>
      </c>
      <c r="F224" s="2" t="s">
        <v>2420</v>
      </c>
      <c r="G224" s="2" t="s">
        <v>1937</v>
      </c>
      <c r="H224" s="2" t="s">
        <v>2414</v>
      </c>
      <c r="I224" s="2" t="s">
        <v>1168</v>
      </c>
      <c r="J224" s="2" t="s">
        <v>2416</v>
      </c>
    </row>
    <row r="225" customFormat="false" ht="15" hidden="false" customHeight="false" outlineLevel="0" collapsed="false">
      <c r="A225" s="2" t="s">
        <v>2421</v>
      </c>
      <c r="B225" s="2" t="s">
        <v>2414</v>
      </c>
      <c r="C225" s="2" t="n">
        <v>4</v>
      </c>
      <c r="D225" s="2" t="s">
        <v>1887</v>
      </c>
      <c r="E225" s="2" t="s">
        <v>35</v>
      </c>
      <c r="F225" s="2" t="s">
        <v>2422</v>
      </c>
      <c r="G225" s="2" t="s">
        <v>1937</v>
      </c>
      <c r="H225" s="2" t="s">
        <v>2414</v>
      </c>
      <c r="I225" s="2" t="s">
        <v>1168</v>
      </c>
      <c r="J225" s="2" t="s">
        <v>2416</v>
      </c>
    </row>
    <row r="226" customFormat="false" ht="15" hidden="false" customHeight="false" outlineLevel="0" collapsed="false">
      <c r="A226" s="2" t="s">
        <v>2423</v>
      </c>
      <c r="B226" s="2" t="s">
        <v>2414</v>
      </c>
      <c r="C226" s="2" t="n">
        <v>5</v>
      </c>
      <c r="D226" s="2" t="s">
        <v>1892</v>
      </c>
      <c r="E226" s="2" t="s">
        <v>35</v>
      </c>
      <c r="F226" s="2" t="s">
        <v>2424</v>
      </c>
      <c r="G226" s="2" t="s">
        <v>1937</v>
      </c>
      <c r="H226" s="2" t="s">
        <v>2414</v>
      </c>
      <c r="I226" s="2" t="s">
        <v>1168</v>
      </c>
      <c r="J226" s="2" t="s">
        <v>2416</v>
      </c>
    </row>
    <row r="227" customFormat="false" ht="15" hidden="false" customHeight="false" outlineLevel="0" collapsed="false">
      <c r="A227" s="2" t="s">
        <v>2425</v>
      </c>
      <c r="B227" s="2" t="s">
        <v>2426</v>
      </c>
      <c r="C227" s="2" t="n">
        <v>1</v>
      </c>
      <c r="D227" s="2" t="s">
        <v>1879</v>
      </c>
      <c r="E227" s="2" t="s">
        <v>33</v>
      </c>
      <c r="F227" s="2" t="s">
        <v>2427</v>
      </c>
      <c r="G227" s="2" t="s">
        <v>2428</v>
      </c>
      <c r="H227" s="2" t="s">
        <v>2426</v>
      </c>
      <c r="I227" s="2" t="s">
        <v>570</v>
      </c>
      <c r="J227" s="2" t="s">
        <v>2429</v>
      </c>
    </row>
    <row r="228" customFormat="false" ht="15" hidden="false" customHeight="false" outlineLevel="0" collapsed="false">
      <c r="A228" s="2" t="s">
        <v>2430</v>
      </c>
      <c r="B228" s="2" t="s">
        <v>2426</v>
      </c>
      <c r="C228" s="2" t="n">
        <v>2</v>
      </c>
      <c r="D228" s="2" t="s">
        <v>1884</v>
      </c>
      <c r="E228" s="2" t="s">
        <v>34</v>
      </c>
      <c r="F228" s="2" t="s">
        <v>2431</v>
      </c>
      <c r="G228" s="2" t="s">
        <v>2428</v>
      </c>
      <c r="H228" s="2" t="s">
        <v>2426</v>
      </c>
      <c r="I228" s="2" t="s">
        <v>1021</v>
      </c>
      <c r="J228" s="2" t="s">
        <v>2429</v>
      </c>
    </row>
    <row r="229" customFormat="false" ht="15" hidden="false" customHeight="false" outlineLevel="0" collapsed="false">
      <c r="A229" s="2" t="s">
        <v>2432</v>
      </c>
      <c r="B229" s="2" t="s">
        <v>2426</v>
      </c>
      <c r="C229" s="2" t="n">
        <v>3</v>
      </c>
      <c r="D229" s="2" t="s">
        <v>1887</v>
      </c>
      <c r="E229" s="2" t="s">
        <v>35</v>
      </c>
      <c r="F229" s="2" t="s">
        <v>2433</v>
      </c>
      <c r="G229" s="2" t="s">
        <v>2428</v>
      </c>
      <c r="H229" s="2" t="s">
        <v>2426</v>
      </c>
      <c r="I229" s="2" t="s">
        <v>1198</v>
      </c>
      <c r="J229" s="2" t="s">
        <v>2429</v>
      </c>
    </row>
    <row r="230" customFormat="false" ht="15" hidden="false" customHeight="false" outlineLevel="0" collapsed="false">
      <c r="A230" s="2" t="s">
        <v>2434</v>
      </c>
      <c r="B230" s="2" t="s">
        <v>2426</v>
      </c>
      <c r="C230" s="2" t="n">
        <v>4</v>
      </c>
      <c r="D230" s="2" t="s">
        <v>1887</v>
      </c>
      <c r="E230" s="2" t="s">
        <v>35</v>
      </c>
      <c r="F230" s="2" t="s">
        <v>2435</v>
      </c>
      <c r="G230" s="2" t="s">
        <v>2428</v>
      </c>
      <c r="H230" s="2" t="s">
        <v>2426</v>
      </c>
      <c r="I230" s="2" t="s">
        <v>1198</v>
      </c>
      <c r="J230" s="2" t="s">
        <v>2429</v>
      </c>
    </row>
    <row r="231" customFormat="false" ht="15" hidden="false" customHeight="false" outlineLevel="0" collapsed="false">
      <c r="A231" s="2" t="s">
        <v>2436</v>
      </c>
      <c r="B231" s="2" t="s">
        <v>2426</v>
      </c>
      <c r="C231" s="2" t="n">
        <v>5</v>
      </c>
      <c r="D231" s="2" t="s">
        <v>1892</v>
      </c>
      <c r="E231" s="2" t="s">
        <v>35</v>
      </c>
      <c r="F231" s="2" t="s">
        <v>2437</v>
      </c>
      <c r="G231" s="2" t="s">
        <v>2428</v>
      </c>
      <c r="H231" s="2" t="s">
        <v>2426</v>
      </c>
      <c r="I231" s="2" t="s">
        <v>1198</v>
      </c>
      <c r="J231" s="2" t="s">
        <v>2429</v>
      </c>
    </row>
    <row r="232" customFormat="false" ht="15" hidden="false" customHeight="false" outlineLevel="0" collapsed="false">
      <c r="A232" s="2" t="s">
        <v>2438</v>
      </c>
      <c r="B232" s="2" t="s">
        <v>2439</v>
      </c>
      <c r="C232" s="2" t="n">
        <v>1</v>
      </c>
      <c r="D232" s="2" t="s">
        <v>1879</v>
      </c>
      <c r="E232" s="2" t="s">
        <v>33</v>
      </c>
      <c r="F232" s="2" t="s">
        <v>2440</v>
      </c>
      <c r="G232" s="2" t="s">
        <v>2428</v>
      </c>
      <c r="H232" s="2" t="s">
        <v>2439</v>
      </c>
      <c r="I232" s="2" t="s">
        <v>570</v>
      </c>
      <c r="J232" s="2" t="s">
        <v>1231</v>
      </c>
    </row>
    <row r="233" customFormat="false" ht="15" hidden="false" customHeight="false" outlineLevel="0" collapsed="false">
      <c r="A233" s="2" t="s">
        <v>2441</v>
      </c>
      <c r="B233" s="2" t="s">
        <v>2439</v>
      </c>
      <c r="C233" s="2" t="n">
        <v>2</v>
      </c>
      <c r="D233" s="2" t="s">
        <v>1884</v>
      </c>
      <c r="E233" s="2" t="s">
        <v>34</v>
      </c>
      <c r="F233" s="2" t="s">
        <v>2442</v>
      </c>
      <c r="G233" s="2" t="s">
        <v>2428</v>
      </c>
      <c r="H233" s="2" t="s">
        <v>2439</v>
      </c>
      <c r="I233" s="2" t="s">
        <v>1021</v>
      </c>
      <c r="J233" s="2" t="s">
        <v>1231</v>
      </c>
    </row>
    <row r="234" customFormat="false" ht="15" hidden="false" customHeight="false" outlineLevel="0" collapsed="false">
      <c r="A234" s="2" t="s">
        <v>2443</v>
      </c>
      <c r="B234" s="2" t="s">
        <v>2439</v>
      </c>
      <c r="C234" s="2" t="n">
        <v>3</v>
      </c>
      <c r="D234" s="2" t="s">
        <v>1887</v>
      </c>
      <c r="E234" s="2" t="s">
        <v>35</v>
      </c>
      <c r="F234" s="2" t="s">
        <v>2444</v>
      </c>
      <c r="G234" s="2" t="s">
        <v>2428</v>
      </c>
      <c r="H234" s="2" t="s">
        <v>2439</v>
      </c>
      <c r="I234" s="2" t="s">
        <v>1226</v>
      </c>
      <c r="J234" s="2" t="s">
        <v>1231</v>
      </c>
    </row>
    <row r="235" customFormat="false" ht="15" hidden="false" customHeight="false" outlineLevel="0" collapsed="false">
      <c r="A235" s="2" t="s">
        <v>2445</v>
      </c>
      <c r="B235" s="2" t="s">
        <v>2439</v>
      </c>
      <c r="C235" s="2" t="n">
        <v>4</v>
      </c>
      <c r="D235" s="2" t="s">
        <v>1887</v>
      </c>
      <c r="E235" s="2" t="s">
        <v>35</v>
      </c>
      <c r="F235" s="2" t="s">
        <v>2446</v>
      </c>
      <c r="G235" s="2" t="s">
        <v>2428</v>
      </c>
      <c r="H235" s="2" t="s">
        <v>2439</v>
      </c>
      <c r="I235" s="2" t="s">
        <v>1226</v>
      </c>
      <c r="J235" s="2" t="s">
        <v>1231</v>
      </c>
    </row>
    <row r="236" customFormat="false" ht="15" hidden="false" customHeight="false" outlineLevel="0" collapsed="false">
      <c r="A236" s="2" t="s">
        <v>2447</v>
      </c>
      <c r="B236" s="2" t="s">
        <v>2439</v>
      </c>
      <c r="C236" s="2" t="n">
        <v>5</v>
      </c>
      <c r="D236" s="2" t="s">
        <v>1892</v>
      </c>
      <c r="E236" s="2" t="s">
        <v>35</v>
      </c>
      <c r="F236" s="2" t="s">
        <v>2448</v>
      </c>
      <c r="G236" s="2" t="s">
        <v>2428</v>
      </c>
      <c r="H236" s="2" t="s">
        <v>2439</v>
      </c>
      <c r="I236" s="2" t="s">
        <v>1226</v>
      </c>
      <c r="J236" s="2" t="s">
        <v>1231</v>
      </c>
    </row>
    <row r="237" customFormat="false" ht="15" hidden="false" customHeight="false" outlineLevel="0" collapsed="false">
      <c r="A237" s="2" t="s">
        <v>2449</v>
      </c>
      <c r="B237" s="2" t="s">
        <v>1199</v>
      </c>
      <c r="C237" s="2" t="n">
        <v>1</v>
      </c>
      <c r="D237" s="2" t="s">
        <v>1879</v>
      </c>
      <c r="E237" s="2" t="s">
        <v>33</v>
      </c>
      <c r="F237" s="2" t="s">
        <v>2450</v>
      </c>
      <c r="G237" s="2" t="s">
        <v>2451</v>
      </c>
      <c r="H237" s="2" t="s">
        <v>1199</v>
      </c>
      <c r="I237" s="2" t="s">
        <v>570</v>
      </c>
      <c r="J237" s="2" t="s">
        <v>2452</v>
      </c>
    </row>
    <row r="238" customFormat="false" ht="15" hidden="false" customHeight="false" outlineLevel="0" collapsed="false">
      <c r="A238" s="2" t="s">
        <v>2453</v>
      </c>
      <c r="B238" s="2" t="s">
        <v>1199</v>
      </c>
      <c r="C238" s="2" t="n">
        <v>2</v>
      </c>
      <c r="D238" s="2" t="s">
        <v>1884</v>
      </c>
      <c r="E238" s="2" t="s">
        <v>34</v>
      </c>
      <c r="F238" s="2" t="s">
        <v>2454</v>
      </c>
      <c r="G238" s="2" t="s">
        <v>2451</v>
      </c>
      <c r="H238" s="2" t="s">
        <v>1199</v>
      </c>
      <c r="I238" s="2" t="s">
        <v>1021</v>
      </c>
      <c r="J238" s="2" t="s">
        <v>2452</v>
      </c>
    </row>
    <row r="239" customFormat="false" ht="15" hidden="false" customHeight="false" outlineLevel="0" collapsed="false">
      <c r="A239" s="2" t="s">
        <v>2455</v>
      </c>
      <c r="B239" s="2" t="s">
        <v>1199</v>
      </c>
      <c r="C239" s="2" t="n">
        <v>3</v>
      </c>
      <c r="D239" s="2" t="s">
        <v>1887</v>
      </c>
      <c r="E239" s="2" t="s">
        <v>35</v>
      </c>
      <c r="F239" s="2" t="s">
        <v>2456</v>
      </c>
      <c r="G239" s="2" t="s">
        <v>2451</v>
      </c>
      <c r="H239" s="2" t="s">
        <v>1199</v>
      </c>
      <c r="I239" s="2" t="s">
        <v>1198</v>
      </c>
      <c r="J239" s="2" t="s">
        <v>2452</v>
      </c>
    </row>
    <row r="240" customFormat="false" ht="15" hidden="false" customHeight="false" outlineLevel="0" collapsed="false">
      <c r="A240" s="2" t="s">
        <v>2457</v>
      </c>
      <c r="B240" s="2" t="s">
        <v>1199</v>
      </c>
      <c r="C240" s="2" t="n">
        <v>4</v>
      </c>
      <c r="D240" s="2" t="s">
        <v>1887</v>
      </c>
      <c r="E240" s="2" t="s">
        <v>35</v>
      </c>
      <c r="F240" s="2" t="s">
        <v>2458</v>
      </c>
      <c r="G240" s="2" t="s">
        <v>2451</v>
      </c>
      <c r="H240" s="2" t="s">
        <v>1199</v>
      </c>
      <c r="I240" s="2" t="s">
        <v>1198</v>
      </c>
      <c r="J240" s="2" t="s">
        <v>2452</v>
      </c>
    </row>
    <row r="241" customFormat="false" ht="15" hidden="false" customHeight="false" outlineLevel="0" collapsed="false">
      <c r="A241" s="2" t="s">
        <v>2459</v>
      </c>
      <c r="B241" s="2" t="s">
        <v>1199</v>
      </c>
      <c r="C241" s="2" t="n">
        <v>5</v>
      </c>
      <c r="D241" s="2" t="s">
        <v>1892</v>
      </c>
      <c r="E241" s="2" t="s">
        <v>35</v>
      </c>
      <c r="F241" s="2" t="s">
        <v>2460</v>
      </c>
      <c r="G241" s="2" t="s">
        <v>2451</v>
      </c>
      <c r="H241" s="2" t="s">
        <v>1199</v>
      </c>
      <c r="I241" s="2" t="s">
        <v>1198</v>
      </c>
      <c r="J241" s="2" t="s">
        <v>2452</v>
      </c>
    </row>
    <row r="242" customFormat="false" ht="15" hidden="false" customHeight="false" outlineLevel="0" collapsed="false">
      <c r="A242" s="2" t="s">
        <v>2461</v>
      </c>
      <c r="B242" s="2" t="s">
        <v>2462</v>
      </c>
      <c r="C242" s="2" t="n">
        <v>1</v>
      </c>
      <c r="D242" s="2" t="s">
        <v>1879</v>
      </c>
      <c r="E242" s="2" t="s">
        <v>33</v>
      </c>
      <c r="F242" s="2" t="s">
        <v>2463</v>
      </c>
      <c r="G242" s="2" t="s">
        <v>1937</v>
      </c>
      <c r="H242" s="2" t="s">
        <v>2462</v>
      </c>
      <c r="I242" s="2" t="s">
        <v>570</v>
      </c>
      <c r="J242" s="2" t="s">
        <v>1224</v>
      </c>
    </row>
    <row r="243" customFormat="false" ht="15" hidden="false" customHeight="false" outlineLevel="0" collapsed="false">
      <c r="A243" s="2" t="s">
        <v>2464</v>
      </c>
      <c r="B243" s="2" t="s">
        <v>2462</v>
      </c>
      <c r="C243" s="2" t="n">
        <v>2</v>
      </c>
      <c r="D243" s="2" t="s">
        <v>1884</v>
      </c>
      <c r="E243" s="2" t="s">
        <v>34</v>
      </c>
      <c r="F243" s="2" t="s">
        <v>2465</v>
      </c>
      <c r="G243" s="2" t="s">
        <v>1937</v>
      </c>
      <c r="H243" s="2" t="s">
        <v>2462</v>
      </c>
      <c r="I243" s="2" t="s">
        <v>1021</v>
      </c>
      <c r="J243" s="2" t="s">
        <v>1224</v>
      </c>
    </row>
    <row r="244" customFormat="false" ht="15" hidden="false" customHeight="false" outlineLevel="0" collapsed="false">
      <c r="A244" s="2" t="s">
        <v>2466</v>
      </c>
      <c r="B244" s="2" t="s">
        <v>2462</v>
      </c>
      <c r="C244" s="2" t="n">
        <v>3</v>
      </c>
      <c r="D244" s="2" t="s">
        <v>1887</v>
      </c>
      <c r="E244" s="2" t="s">
        <v>35</v>
      </c>
      <c r="F244" s="2" t="s">
        <v>2467</v>
      </c>
      <c r="G244" s="2" t="s">
        <v>1937</v>
      </c>
      <c r="H244" s="2" t="s">
        <v>2462</v>
      </c>
      <c r="I244" s="2" t="s">
        <v>1219</v>
      </c>
      <c r="J244" s="2" t="s">
        <v>1224</v>
      </c>
    </row>
    <row r="245" customFormat="false" ht="15" hidden="false" customHeight="false" outlineLevel="0" collapsed="false">
      <c r="A245" s="2" t="s">
        <v>2468</v>
      </c>
      <c r="B245" s="2" t="s">
        <v>2462</v>
      </c>
      <c r="C245" s="2" t="n">
        <v>4</v>
      </c>
      <c r="D245" s="2" t="s">
        <v>1887</v>
      </c>
      <c r="E245" s="2" t="s">
        <v>35</v>
      </c>
      <c r="F245" s="2" t="s">
        <v>2469</v>
      </c>
      <c r="G245" s="2" t="s">
        <v>1937</v>
      </c>
      <c r="H245" s="2" t="s">
        <v>2462</v>
      </c>
      <c r="I245" s="2" t="s">
        <v>1219</v>
      </c>
      <c r="J245" s="2" t="s">
        <v>1224</v>
      </c>
    </row>
    <row r="246" customFormat="false" ht="15" hidden="false" customHeight="false" outlineLevel="0" collapsed="false">
      <c r="A246" s="2" t="s">
        <v>2470</v>
      </c>
      <c r="B246" s="2" t="s">
        <v>2462</v>
      </c>
      <c r="C246" s="2" t="n">
        <v>5</v>
      </c>
      <c r="D246" s="2" t="s">
        <v>1892</v>
      </c>
      <c r="E246" s="2" t="s">
        <v>35</v>
      </c>
      <c r="F246" s="2" t="s">
        <v>2471</v>
      </c>
      <c r="G246" s="2" t="s">
        <v>1937</v>
      </c>
      <c r="H246" s="2" t="s">
        <v>2462</v>
      </c>
      <c r="I246" s="2" t="s">
        <v>1219</v>
      </c>
      <c r="J246" s="2" t="s">
        <v>1224</v>
      </c>
    </row>
    <row r="247" customFormat="false" ht="15" hidden="false" customHeight="false" outlineLevel="0" collapsed="false">
      <c r="A247" s="2" t="s">
        <v>2472</v>
      </c>
      <c r="B247" s="2" t="s">
        <v>2473</v>
      </c>
      <c r="C247" s="2" t="n">
        <v>1</v>
      </c>
      <c r="D247" s="2" t="s">
        <v>1879</v>
      </c>
      <c r="E247" s="2" t="s">
        <v>33</v>
      </c>
      <c r="F247" s="2" t="s">
        <v>2474</v>
      </c>
      <c r="G247" s="2" t="s">
        <v>1937</v>
      </c>
      <c r="H247" s="2" t="s">
        <v>2473</v>
      </c>
      <c r="I247" s="2" t="s">
        <v>570</v>
      </c>
      <c r="J247" s="2" t="s">
        <v>1217</v>
      </c>
    </row>
    <row r="248" customFormat="false" ht="15" hidden="false" customHeight="false" outlineLevel="0" collapsed="false">
      <c r="A248" s="2" t="s">
        <v>2475</v>
      </c>
      <c r="B248" s="2" t="s">
        <v>2473</v>
      </c>
      <c r="C248" s="2" t="n">
        <v>2</v>
      </c>
      <c r="D248" s="2" t="s">
        <v>1884</v>
      </c>
      <c r="E248" s="2" t="s">
        <v>34</v>
      </c>
      <c r="F248" s="2" t="s">
        <v>2476</v>
      </c>
      <c r="G248" s="2" t="s">
        <v>1937</v>
      </c>
      <c r="H248" s="2" t="s">
        <v>2473</v>
      </c>
      <c r="I248" s="2" t="s">
        <v>1021</v>
      </c>
      <c r="J248" s="2" t="s">
        <v>1217</v>
      </c>
    </row>
    <row r="249" customFormat="false" ht="15" hidden="false" customHeight="false" outlineLevel="0" collapsed="false">
      <c r="A249" s="2" t="s">
        <v>2477</v>
      </c>
      <c r="B249" s="2" t="s">
        <v>2473</v>
      </c>
      <c r="C249" s="2" t="n">
        <v>3</v>
      </c>
      <c r="D249" s="2" t="s">
        <v>1887</v>
      </c>
      <c r="E249" s="2" t="s">
        <v>35</v>
      </c>
      <c r="F249" s="2" t="s">
        <v>2478</v>
      </c>
      <c r="G249" s="2" t="s">
        <v>1937</v>
      </c>
      <c r="H249" s="2" t="s">
        <v>2473</v>
      </c>
      <c r="I249" s="2" t="s">
        <v>1212</v>
      </c>
      <c r="J249" s="2" t="s">
        <v>1217</v>
      </c>
    </row>
    <row r="250" customFormat="false" ht="15" hidden="false" customHeight="false" outlineLevel="0" collapsed="false">
      <c r="A250" s="2" t="s">
        <v>2479</v>
      </c>
      <c r="B250" s="2" t="s">
        <v>2473</v>
      </c>
      <c r="C250" s="2" t="n">
        <v>4</v>
      </c>
      <c r="D250" s="2" t="s">
        <v>1887</v>
      </c>
      <c r="E250" s="2" t="s">
        <v>35</v>
      </c>
      <c r="F250" s="2" t="s">
        <v>2480</v>
      </c>
      <c r="G250" s="2" t="s">
        <v>1937</v>
      </c>
      <c r="H250" s="2" t="s">
        <v>2473</v>
      </c>
      <c r="I250" s="2" t="s">
        <v>1212</v>
      </c>
      <c r="J250" s="2" t="s">
        <v>1217</v>
      </c>
    </row>
    <row r="251" customFormat="false" ht="15" hidden="false" customHeight="false" outlineLevel="0" collapsed="false">
      <c r="A251" s="2" t="s">
        <v>2481</v>
      </c>
      <c r="B251" s="2" t="s">
        <v>2473</v>
      </c>
      <c r="C251" s="2" t="n">
        <v>5</v>
      </c>
      <c r="D251" s="2" t="s">
        <v>1892</v>
      </c>
      <c r="E251" s="2" t="s">
        <v>35</v>
      </c>
      <c r="F251" s="2" t="s">
        <v>2482</v>
      </c>
      <c r="G251" s="2" t="s">
        <v>1937</v>
      </c>
      <c r="H251" s="2" t="s">
        <v>2473</v>
      </c>
      <c r="I251" s="2" t="s">
        <v>1212</v>
      </c>
      <c r="J251" s="2" t="s">
        <v>1217</v>
      </c>
    </row>
    <row r="252" customFormat="false" ht="15" hidden="false" customHeight="false" outlineLevel="0" collapsed="false">
      <c r="A252" s="2" t="s">
        <v>2483</v>
      </c>
      <c r="B252" s="2" t="s">
        <v>2484</v>
      </c>
      <c r="C252" s="2" t="n">
        <v>1</v>
      </c>
      <c r="D252" s="2" t="s">
        <v>1879</v>
      </c>
      <c r="E252" s="2" t="s">
        <v>33</v>
      </c>
      <c r="F252" s="2" t="s">
        <v>2485</v>
      </c>
      <c r="G252" s="2" t="s">
        <v>1937</v>
      </c>
      <c r="H252" s="2" t="s">
        <v>2484</v>
      </c>
      <c r="I252" s="2" t="s">
        <v>563</v>
      </c>
      <c r="J252" s="2" t="s">
        <v>2486</v>
      </c>
    </row>
    <row r="253" customFormat="false" ht="15" hidden="false" customHeight="false" outlineLevel="0" collapsed="false">
      <c r="A253" s="2" t="s">
        <v>2487</v>
      </c>
      <c r="B253" s="2" t="s">
        <v>2484</v>
      </c>
      <c r="C253" s="2" t="n">
        <v>2</v>
      </c>
      <c r="D253" s="2" t="s">
        <v>1884</v>
      </c>
      <c r="E253" s="2" t="s">
        <v>34</v>
      </c>
      <c r="F253" s="2" t="s">
        <v>2488</v>
      </c>
      <c r="G253" s="2" t="s">
        <v>1937</v>
      </c>
      <c r="H253" s="2" t="s">
        <v>2484</v>
      </c>
      <c r="I253" s="2" t="s">
        <v>925</v>
      </c>
      <c r="J253" s="2" t="s">
        <v>2486</v>
      </c>
    </row>
    <row r="254" customFormat="false" ht="15" hidden="false" customHeight="false" outlineLevel="0" collapsed="false">
      <c r="A254" s="2" t="s">
        <v>2489</v>
      </c>
      <c r="B254" s="2" t="s">
        <v>2484</v>
      </c>
      <c r="C254" s="2" t="n">
        <v>3</v>
      </c>
      <c r="D254" s="2" t="s">
        <v>1887</v>
      </c>
      <c r="E254" s="2" t="s">
        <v>35</v>
      </c>
      <c r="F254" s="2" t="s">
        <v>2490</v>
      </c>
      <c r="G254" s="2" t="s">
        <v>1937</v>
      </c>
      <c r="H254" s="2" t="s">
        <v>2484</v>
      </c>
      <c r="I254" s="2" t="s">
        <v>1130</v>
      </c>
      <c r="J254" s="2" t="s">
        <v>2486</v>
      </c>
    </row>
    <row r="255" customFormat="false" ht="15" hidden="false" customHeight="false" outlineLevel="0" collapsed="false">
      <c r="A255" s="2" t="s">
        <v>2491</v>
      </c>
      <c r="B255" s="2" t="s">
        <v>2484</v>
      </c>
      <c r="C255" s="2" t="n">
        <v>4</v>
      </c>
      <c r="D255" s="2" t="s">
        <v>1887</v>
      </c>
      <c r="E255" s="2" t="s">
        <v>35</v>
      </c>
      <c r="F255" s="2" t="s">
        <v>2492</v>
      </c>
      <c r="G255" s="2" t="s">
        <v>1937</v>
      </c>
      <c r="H255" s="2" t="s">
        <v>2484</v>
      </c>
      <c r="I255" s="2" t="s">
        <v>1130</v>
      </c>
      <c r="J255" s="2" t="s">
        <v>2486</v>
      </c>
    </row>
    <row r="256" customFormat="false" ht="15" hidden="false" customHeight="false" outlineLevel="0" collapsed="false">
      <c r="A256" s="2" t="s">
        <v>2493</v>
      </c>
      <c r="B256" s="2" t="s">
        <v>2484</v>
      </c>
      <c r="C256" s="2" t="n">
        <v>5</v>
      </c>
      <c r="D256" s="2" t="s">
        <v>1892</v>
      </c>
      <c r="E256" s="2" t="s">
        <v>35</v>
      </c>
      <c r="F256" s="2" t="s">
        <v>2494</v>
      </c>
      <c r="G256" s="2" t="s">
        <v>1937</v>
      </c>
      <c r="H256" s="2" t="s">
        <v>2484</v>
      </c>
      <c r="I256" s="2" t="s">
        <v>1130</v>
      </c>
      <c r="J256" s="2" t="s">
        <v>2486</v>
      </c>
    </row>
    <row r="257" customFormat="false" ht="15" hidden="false" customHeight="false" outlineLevel="0" collapsed="false">
      <c r="A257" s="2" t="s">
        <v>2495</v>
      </c>
      <c r="B257" s="2" t="s">
        <v>2496</v>
      </c>
      <c r="C257" s="2" t="n">
        <v>1</v>
      </c>
      <c r="D257" s="2" t="s">
        <v>1879</v>
      </c>
      <c r="E257" s="2" t="s">
        <v>33</v>
      </c>
      <c r="F257" s="2" t="s">
        <v>2497</v>
      </c>
      <c r="G257" s="2" t="s">
        <v>1937</v>
      </c>
      <c r="H257" s="2" t="s">
        <v>2496</v>
      </c>
      <c r="I257" s="2" t="s">
        <v>570</v>
      </c>
      <c r="J257" s="2" t="s">
        <v>2498</v>
      </c>
    </row>
    <row r="258" customFormat="false" ht="15" hidden="false" customHeight="false" outlineLevel="0" collapsed="false">
      <c r="A258" s="2" t="s">
        <v>2499</v>
      </c>
      <c r="B258" s="2" t="s">
        <v>2496</v>
      </c>
      <c r="C258" s="2" t="n">
        <v>2</v>
      </c>
      <c r="D258" s="2" t="s">
        <v>1884</v>
      </c>
      <c r="E258" s="2" t="s">
        <v>34</v>
      </c>
      <c r="F258" s="2" t="s">
        <v>2500</v>
      </c>
      <c r="G258" s="2" t="s">
        <v>1937</v>
      </c>
      <c r="H258" s="2" t="s">
        <v>2496</v>
      </c>
      <c r="I258" s="2" t="s">
        <v>1015</v>
      </c>
      <c r="J258" s="2" t="s">
        <v>2498</v>
      </c>
    </row>
    <row r="259" customFormat="false" ht="15" hidden="false" customHeight="false" outlineLevel="0" collapsed="false">
      <c r="A259" s="2" t="s">
        <v>2501</v>
      </c>
      <c r="B259" s="2" t="s">
        <v>2496</v>
      </c>
      <c r="C259" s="2" t="n">
        <v>3</v>
      </c>
      <c r="D259" s="2" t="s">
        <v>1887</v>
      </c>
      <c r="E259" s="2" t="s">
        <v>35</v>
      </c>
      <c r="F259" s="2" t="s">
        <v>2502</v>
      </c>
      <c r="G259" s="2" t="s">
        <v>1937</v>
      </c>
      <c r="H259" s="2" t="s">
        <v>2496</v>
      </c>
      <c r="I259" s="2" t="s">
        <v>1183</v>
      </c>
      <c r="J259" s="2" t="s">
        <v>2498</v>
      </c>
    </row>
    <row r="260" customFormat="false" ht="23.85" hidden="false" customHeight="false" outlineLevel="0" collapsed="false">
      <c r="A260" s="2" t="s">
        <v>2503</v>
      </c>
      <c r="B260" s="2" t="s">
        <v>2496</v>
      </c>
      <c r="C260" s="2" t="n">
        <v>4</v>
      </c>
      <c r="D260" s="2" t="s">
        <v>1887</v>
      </c>
      <c r="E260" s="2" t="s">
        <v>35</v>
      </c>
      <c r="F260" s="2" t="s">
        <v>2504</v>
      </c>
      <c r="G260" s="2" t="s">
        <v>1937</v>
      </c>
      <c r="H260" s="2" t="s">
        <v>2496</v>
      </c>
      <c r="I260" s="2" t="s">
        <v>1183</v>
      </c>
      <c r="J260" s="2" t="s">
        <v>2498</v>
      </c>
    </row>
    <row r="261" customFormat="false" ht="15" hidden="false" customHeight="false" outlineLevel="0" collapsed="false">
      <c r="A261" s="2" t="s">
        <v>2505</v>
      </c>
      <c r="B261" s="2" t="s">
        <v>2496</v>
      </c>
      <c r="C261" s="2" t="n">
        <v>5</v>
      </c>
      <c r="D261" s="2" t="s">
        <v>1892</v>
      </c>
      <c r="E261" s="2" t="s">
        <v>35</v>
      </c>
      <c r="F261" s="2" t="s">
        <v>2506</v>
      </c>
      <c r="G261" s="2" t="s">
        <v>1937</v>
      </c>
      <c r="H261" s="2" t="s">
        <v>2496</v>
      </c>
      <c r="I261" s="2" t="s">
        <v>1183</v>
      </c>
      <c r="J261" s="2" t="s">
        <v>2498</v>
      </c>
    </row>
    <row r="262" customFormat="false" ht="15" hidden="false" customHeight="false" outlineLevel="0" collapsed="false">
      <c r="A262" s="2" t="s">
        <v>2507</v>
      </c>
      <c r="B262" s="2" t="s">
        <v>2508</v>
      </c>
      <c r="C262" s="2" t="n">
        <v>1</v>
      </c>
      <c r="D262" s="2" t="s">
        <v>1879</v>
      </c>
      <c r="E262" s="2" t="s">
        <v>33</v>
      </c>
      <c r="F262" s="2" t="s">
        <v>2509</v>
      </c>
      <c r="G262" s="2" t="s">
        <v>2154</v>
      </c>
      <c r="H262" s="2" t="s">
        <v>2508</v>
      </c>
      <c r="I262" s="2" t="s">
        <v>563</v>
      </c>
      <c r="J262" s="2" t="s">
        <v>2510</v>
      </c>
    </row>
    <row r="263" customFormat="false" ht="15" hidden="false" customHeight="false" outlineLevel="0" collapsed="false">
      <c r="A263" s="2" t="s">
        <v>2511</v>
      </c>
      <c r="B263" s="2" t="s">
        <v>2508</v>
      </c>
      <c r="C263" s="2" t="n">
        <v>2</v>
      </c>
      <c r="D263" s="2" t="s">
        <v>1884</v>
      </c>
      <c r="E263" s="2" t="s">
        <v>34</v>
      </c>
      <c r="F263" s="2" t="s">
        <v>2512</v>
      </c>
      <c r="G263" s="2" t="s">
        <v>2154</v>
      </c>
      <c r="H263" s="2" t="s">
        <v>2508</v>
      </c>
      <c r="I263" s="2" t="s">
        <v>925</v>
      </c>
      <c r="J263" s="2" t="s">
        <v>2510</v>
      </c>
    </row>
    <row r="264" customFormat="false" ht="15" hidden="false" customHeight="false" outlineLevel="0" collapsed="false">
      <c r="A264" s="2" t="s">
        <v>2513</v>
      </c>
      <c r="B264" s="2" t="s">
        <v>2508</v>
      </c>
      <c r="C264" s="2" t="n">
        <v>3</v>
      </c>
      <c r="D264" s="2" t="s">
        <v>1887</v>
      </c>
      <c r="E264" s="2" t="s">
        <v>35</v>
      </c>
      <c r="F264" s="2" t="s">
        <v>2514</v>
      </c>
      <c r="G264" s="2" t="s">
        <v>2154</v>
      </c>
      <c r="H264" s="2" t="s">
        <v>2508</v>
      </c>
      <c r="I264" s="2" t="s">
        <v>1130</v>
      </c>
      <c r="J264" s="2" t="s">
        <v>2510</v>
      </c>
    </row>
    <row r="265" customFormat="false" ht="15" hidden="false" customHeight="false" outlineLevel="0" collapsed="false">
      <c r="A265" s="2" t="s">
        <v>2515</v>
      </c>
      <c r="B265" s="2" t="s">
        <v>2508</v>
      </c>
      <c r="C265" s="2" t="n">
        <v>4</v>
      </c>
      <c r="D265" s="2" t="s">
        <v>1887</v>
      </c>
      <c r="E265" s="2" t="s">
        <v>35</v>
      </c>
      <c r="F265" s="2" t="s">
        <v>2516</v>
      </c>
      <c r="G265" s="2" t="s">
        <v>2154</v>
      </c>
      <c r="H265" s="2" t="s">
        <v>2508</v>
      </c>
      <c r="I265" s="2" t="s">
        <v>1130</v>
      </c>
      <c r="J265" s="2" t="s">
        <v>2510</v>
      </c>
    </row>
    <row r="266" customFormat="false" ht="15" hidden="false" customHeight="false" outlineLevel="0" collapsed="false">
      <c r="A266" s="2" t="s">
        <v>2517</v>
      </c>
      <c r="B266" s="2" t="s">
        <v>2508</v>
      </c>
      <c r="C266" s="2" t="n">
        <v>5</v>
      </c>
      <c r="D266" s="2" t="s">
        <v>1892</v>
      </c>
      <c r="E266" s="2" t="s">
        <v>35</v>
      </c>
      <c r="F266" s="2" t="s">
        <v>2518</v>
      </c>
      <c r="G266" s="2" t="s">
        <v>2154</v>
      </c>
      <c r="H266" s="2" t="s">
        <v>2508</v>
      </c>
      <c r="I266" s="2" t="s">
        <v>1130</v>
      </c>
      <c r="J266" s="2" t="s">
        <v>2510</v>
      </c>
    </row>
    <row r="267" customFormat="false" ht="15" hidden="false" customHeight="false" outlineLevel="0" collapsed="false">
      <c r="A267" s="2" t="s">
        <v>2519</v>
      </c>
      <c r="B267" s="2" t="s">
        <v>2520</v>
      </c>
      <c r="C267" s="2" t="n">
        <v>1</v>
      </c>
      <c r="D267" s="2" t="s">
        <v>1879</v>
      </c>
      <c r="E267" s="2" t="s">
        <v>33</v>
      </c>
      <c r="F267" s="2" t="s">
        <v>2521</v>
      </c>
      <c r="G267" s="2" t="s">
        <v>1937</v>
      </c>
      <c r="H267" s="2" t="s">
        <v>2520</v>
      </c>
      <c r="I267" s="2" t="s">
        <v>557</v>
      </c>
      <c r="J267" s="2" t="s">
        <v>2522</v>
      </c>
    </row>
    <row r="268" customFormat="false" ht="15" hidden="false" customHeight="false" outlineLevel="0" collapsed="false">
      <c r="A268" s="2" t="s">
        <v>2523</v>
      </c>
      <c r="B268" s="2" t="s">
        <v>2520</v>
      </c>
      <c r="C268" s="2" t="n">
        <v>2</v>
      </c>
      <c r="D268" s="2" t="s">
        <v>1884</v>
      </c>
      <c r="E268" s="2" t="s">
        <v>34</v>
      </c>
      <c r="F268" s="2" t="s">
        <v>2524</v>
      </c>
      <c r="G268" s="2" t="s">
        <v>1937</v>
      </c>
      <c r="H268" s="2" t="s">
        <v>2520</v>
      </c>
      <c r="I268" s="2" t="s">
        <v>868</v>
      </c>
      <c r="J268" s="2" t="s">
        <v>2522</v>
      </c>
    </row>
    <row r="269" customFormat="false" ht="15" hidden="false" customHeight="false" outlineLevel="0" collapsed="false">
      <c r="A269" s="2" t="s">
        <v>2525</v>
      </c>
      <c r="B269" s="2" t="s">
        <v>2520</v>
      </c>
      <c r="C269" s="2" t="n">
        <v>3</v>
      </c>
      <c r="D269" s="2" t="s">
        <v>1887</v>
      </c>
      <c r="E269" s="2" t="s">
        <v>35</v>
      </c>
      <c r="F269" s="2" t="s">
        <v>2526</v>
      </c>
      <c r="G269" s="2" t="s">
        <v>1937</v>
      </c>
      <c r="H269" s="2" t="s">
        <v>2520</v>
      </c>
      <c r="I269" s="2" t="s">
        <v>1105</v>
      </c>
      <c r="J269" s="2" t="s">
        <v>2522</v>
      </c>
    </row>
    <row r="270" customFormat="false" ht="15" hidden="false" customHeight="false" outlineLevel="0" collapsed="false">
      <c r="A270" s="2" t="s">
        <v>2527</v>
      </c>
      <c r="B270" s="2" t="s">
        <v>2520</v>
      </c>
      <c r="C270" s="2" t="n">
        <v>4</v>
      </c>
      <c r="D270" s="2" t="s">
        <v>1887</v>
      </c>
      <c r="E270" s="2" t="s">
        <v>35</v>
      </c>
      <c r="F270" s="2" t="s">
        <v>2528</v>
      </c>
      <c r="G270" s="2" t="s">
        <v>1937</v>
      </c>
      <c r="H270" s="2" t="s">
        <v>2520</v>
      </c>
      <c r="I270" s="2" t="s">
        <v>1105</v>
      </c>
      <c r="J270" s="2" t="s">
        <v>2522</v>
      </c>
    </row>
    <row r="271" customFormat="false" ht="15" hidden="false" customHeight="false" outlineLevel="0" collapsed="false">
      <c r="A271" s="2" t="s">
        <v>2529</v>
      </c>
      <c r="B271" s="2" t="s">
        <v>2520</v>
      </c>
      <c r="C271" s="2" t="n">
        <v>5</v>
      </c>
      <c r="D271" s="2" t="s">
        <v>1892</v>
      </c>
      <c r="E271" s="2" t="s">
        <v>35</v>
      </c>
      <c r="F271" s="2" t="s">
        <v>2530</v>
      </c>
      <c r="G271" s="2" t="s">
        <v>1937</v>
      </c>
      <c r="H271" s="2" t="s">
        <v>2520</v>
      </c>
      <c r="I271" s="2" t="s">
        <v>1105</v>
      </c>
      <c r="J271" s="2" t="s">
        <v>2522</v>
      </c>
    </row>
    <row r="272" customFormat="false" ht="15" hidden="false" customHeight="false" outlineLevel="0" collapsed="false">
      <c r="A272" s="2" t="s">
        <v>2531</v>
      </c>
      <c r="B272" s="2" t="s">
        <v>2532</v>
      </c>
      <c r="C272" s="2" t="n">
        <v>1</v>
      </c>
      <c r="D272" s="2" t="s">
        <v>1879</v>
      </c>
      <c r="E272" s="2" t="s">
        <v>33</v>
      </c>
      <c r="F272" s="2" t="s">
        <v>2533</v>
      </c>
      <c r="G272" s="2" t="s">
        <v>1937</v>
      </c>
      <c r="H272" s="2" t="s">
        <v>2532</v>
      </c>
      <c r="I272" s="2" t="s">
        <v>570</v>
      </c>
      <c r="J272" s="2" t="s">
        <v>2534</v>
      </c>
    </row>
    <row r="273" customFormat="false" ht="15" hidden="false" customHeight="false" outlineLevel="0" collapsed="false">
      <c r="A273" s="2" t="s">
        <v>2535</v>
      </c>
      <c r="B273" s="2" t="s">
        <v>2532</v>
      </c>
      <c r="C273" s="2" t="n">
        <v>2</v>
      </c>
      <c r="D273" s="2" t="s">
        <v>1884</v>
      </c>
      <c r="E273" s="2" t="s">
        <v>34</v>
      </c>
      <c r="F273" s="2" t="s">
        <v>2536</v>
      </c>
      <c r="G273" s="2" t="s">
        <v>1937</v>
      </c>
      <c r="H273" s="2" t="s">
        <v>2532</v>
      </c>
      <c r="I273" s="2" t="s">
        <v>1015</v>
      </c>
      <c r="J273" s="2" t="s">
        <v>2534</v>
      </c>
    </row>
    <row r="274" customFormat="false" ht="15" hidden="false" customHeight="false" outlineLevel="0" collapsed="false">
      <c r="A274" s="2" t="s">
        <v>2537</v>
      </c>
      <c r="B274" s="2" t="s">
        <v>2532</v>
      </c>
      <c r="C274" s="2" t="n">
        <v>3</v>
      </c>
      <c r="D274" s="2" t="s">
        <v>1887</v>
      </c>
      <c r="E274" s="2" t="s">
        <v>35</v>
      </c>
      <c r="F274" s="2" t="s">
        <v>2538</v>
      </c>
      <c r="G274" s="2" t="s">
        <v>1937</v>
      </c>
      <c r="H274" s="2" t="s">
        <v>2532</v>
      </c>
      <c r="I274" s="2" t="s">
        <v>1183</v>
      </c>
      <c r="J274" s="2" t="s">
        <v>2534</v>
      </c>
    </row>
    <row r="275" customFormat="false" ht="15" hidden="false" customHeight="false" outlineLevel="0" collapsed="false">
      <c r="A275" s="2" t="s">
        <v>2539</v>
      </c>
      <c r="B275" s="2" t="s">
        <v>2532</v>
      </c>
      <c r="C275" s="2" t="n">
        <v>4</v>
      </c>
      <c r="D275" s="2" t="s">
        <v>1887</v>
      </c>
      <c r="E275" s="2" t="s">
        <v>35</v>
      </c>
      <c r="F275" s="2" t="s">
        <v>2540</v>
      </c>
      <c r="G275" s="2" t="s">
        <v>1937</v>
      </c>
      <c r="H275" s="2" t="s">
        <v>2532</v>
      </c>
      <c r="I275" s="2" t="s">
        <v>1183</v>
      </c>
      <c r="J275" s="2" t="s">
        <v>2534</v>
      </c>
    </row>
    <row r="276" customFormat="false" ht="15" hidden="false" customHeight="false" outlineLevel="0" collapsed="false">
      <c r="A276" s="2" t="s">
        <v>2541</v>
      </c>
      <c r="B276" s="2" t="s">
        <v>2532</v>
      </c>
      <c r="C276" s="2" t="n">
        <v>5</v>
      </c>
      <c r="D276" s="2" t="s">
        <v>1892</v>
      </c>
      <c r="E276" s="2" t="s">
        <v>35</v>
      </c>
      <c r="F276" s="2" t="s">
        <v>2542</v>
      </c>
      <c r="G276" s="2" t="s">
        <v>1937</v>
      </c>
      <c r="H276" s="2" t="s">
        <v>2532</v>
      </c>
      <c r="I276" s="2" t="s">
        <v>1183</v>
      </c>
      <c r="J276" s="2" t="s">
        <v>2534</v>
      </c>
    </row>
    <row r="277" customFormat="false" ht="15" hidden="false" customHeight="false" outlineLevel="0" collapsed="false">
      <c r="A277" s="2" t="s">
        <v>2543</v>
      </c>
      <c r="B277" s="2" t="s">
        <v>2544</v>
      </c>
      <c r="C277" s="2" t="n">
        <v>1</v>
      </c>
      <c r="D277" s="2" t="s">
        <v>1879</v>
      </c>
      <c r="E277" s="2" t="s">
        <v>33</v>
      </c>
      <c r="F277" s="2" t="s">
        <v>2545</v>
      </c>
      <c r="G277" s="2" t="s">
        <v>2546</v>
      </c>
      <c r="H277" s="2" t="s">
        <v>2544</v>
      </c>
      <c r="I277" s="2" t="s">
        <v>570</v>
      </c>
      <c r="J277" s="2" t="s">
        <v>2547</v>
      </c>
    </row>
    <row r="278" customFormat="false" ht="23.85" hidden="false" customHeight="false" outlineLevel="0" collapsed="false">
      <c r="A278" s="2" t="s">
        <v>2548</v>
      </c>
      <c r="B278" s="2" t="s">
        <v>2544</v>
      </c>
      <c r="C278" s="2" t="n">
        <v>2</v>
      </c>
      <c r="D278" s="2" t="s">
        <v>1884</v>
      </c>
      <c r="E278" s="2" t="s">
        <v>34</v>
      </c>
      <c r="F278" s="2" t="s">
        <v>2549</v>
      </c>
      <c r="G278" s="2" t="s">
        <v>2546</v>
      </c>
      <c r="H278" s="2" t="s">
        <v>2544</v>
      </c>
      <c r="I278" s="2" t="s">
        <v>1015</v>
      </c>
      <c r="J278" s="2" t="s">
        <v>2547</v>
      </c>
    </row>
    <row r="279" customFormat="false" ht="15" hidden="false" customHeight="false" outlineLevel="0" collapsed="false">
      <c r="A279" s="2" t="s">
        <v>2550</v>
      </c>
      <c r="B279" s="2" t="s">
        <v>2544</v>
      </c>
      <c r="C279" s="2" t="n">
        <v>3</v>
      </c>
      <c r="D279" s="2" t="s">
        <v>1887</v>
      </c>
      <c r="E279" s="2" t="s">
        <v>35</v>
      </c>
      <c r="F279" s="2" t="s">
        <v>2551</v>
      </c>
      <c r="G279" s="2" t="s">
        <v>2546</v>
      </c>
      <c r="H279" s="2" t="s">
        <v>2544</v>
      </c>
      <c r="I279" s="2" t="s">
        <v>1183</v>
      </c>
      <c r="J279" s="2" t="s">
        <v>2547</v>
      </c>
    </row>
    <row r="280" customFormat="false" ht="15" hidden="false" customHeight="false" outlineLevel="0" collapsed="false">
      <c r="A280" s="2" t="s">
        <v>2552</v>
      </c>
      <c r="B280" s="2" t="s">
        <v>2544</v>
      </c>
      <c r="C280" s="2" t="n">
        <v>4</v>
      </c>
      <c r="D280" s="2" t="s">
        <v>1887</v>
      </c>
      <c r="E280" s="2" t="s">
        <v>35</v>
      </c>
      <c r="F280" s="2" t="s">
        <v>2553</v>
      </c>
      <c r="G280" s="2" t="s">
        <v>2546</v>
      </c>
      <c r="H280" s="2" t="s">
        <v>2544</v>
      </c>
      <c r="I280" s="2" t="s">
        <v>1183</v>
      </c>
      <c r="J280" s="2" t="s">
        <v>2547</v>
      </c>
    </row>
    <row r="281" customFormat="false" ht="15" hidden="false" customHeight="false" outlineLevel="0" collapsed="false">
      <c r="A281" s="2" t="s">
        <v>2554</v>
      </c>
      <c r="B281" s="2" t="s">
        <v>2544</v>
      </c>
      <c r="C281" s="2" t="n">
        <v>5</v>
      </c>
      <c r="D281" s="2" t="s">
        <v>1892</v>
      </c>
      <c r="E281" s="2" t="s">
        <v>35</v>
      </c>
      <c r="F281" s="2" t="s">
        <v>2555</v>
      </c>
      <c r="G281" s="2" t="s">
        <v>2546</v>
      </c>
      <c r="H281" s="2" t="s">
        <v>2544</v>
      </c>
      <c r="I281" s="2" t="s">
        <v>1183</v>
      </c>
      <c r="J281" s="2" t="s">
        <v>2547</v>
      </c>
    </row>
    <row r="282" customFormat="false" ht="15" hidden="false" customHeight="false" outlineLevel="0" collapsed="false">
      <c r="A282" s="2" t="s">
        <v>2556</v>
      </c>
      <c r="B282" s="2" t="s">
        <v>2557</v>
      </c>
      <c r="C282" s="2" t="n">
        <v>1</v>
      </c>
      <c r="D282" s="2" t="s">
        <v>1879</v>
      </c>
      <c r="E282" s="2" t="s">
        <v>33</v>
      </c>
      <c r="F282" s="2" t="s">
        <v>2558</v>
      </c>
      <c r="G282" s="2" t="s">
        <v>1937</v>
      </c>
      <c r="H282" s="2" t="s">
        <v>2557</v>
      </c>
      <c r="I282" s="2" t="s">
        <v>458</v>
      </c>
      <c r="J282" s="2" t="s">
        <v>463</v>
      </c>
    </row>
    <row r="283" customFormat="false" ht="15" hidden="false" customHeight="false" outlineLevel="0" collapsed="false">
      <c r="A283" s="2" t="s">
        <v>2559</v>
      </c>
      <c r="B283" s="2" t="s">
        <v>2557</v>
      </c>
      <c r="C283" s="2" t="n">
        <v>2</v>
      </c>
      <c r="D283" s="2" t="s">
        <v>1884</v>
      </c>
      <c r="E283" s="2" t="s">
        <v>34</v>
      </c>
      <c r="F283" s="2" t="s">
        <v>2560</v>
      </c>
      <c r="G283" s="2" t="s">
        <v>1937</v>
      </c>
      <c r="H283" s="2" t="s">
        <v>2557</v>
      </c>
      <c r="I283" s="2" t="s">
        <v>1003</v>
      </c>
      <c r="J283" s="2" t="s">
        <v>463</v>
      </c>
    </row>
    <row r="284" customFormat="false" ht="15" hidden="false" customHeight="false" outlineLevel="0" collapsed="false">
      <c r="A284" s="2" t="s">
        <v>2561</v>
      </c>
      <c r="B284" s="2" t="s">
        <v>2557</v>
      </c>
      <c r="C284" s="2" t="n">
        <v>3</v>
      </c>
      <c r="D284" s="2" t="s">
        <v>1887</v>
      </c>
      <c r="E284" s="2" t="s">
        <v>35</v>
      </c>
      <c r="F284" s="2" t="s">
        <v>2562</v>
      </c>
      <c r="G284" s="2" t="s">
        <v>1937</v>
      </c>
      <c r="H284" s="2" t="s">
        <v>2557</v>
      </c>
      <c r="I284" s="2" t="s">
        <v>1044</v>
      </c>
      <c r="J284" s="2" t="s">
        <v>463</v>
      </c>
    </row>
    <row r="285" customFormat="false" ht="15" hidden="false" customHeight="false" outlineLevel="0" collapsed="false">
      <c r="A285" s="2" t="s">
        <v>2563</v>
      </c>
      <c r="B285" s="2" t="s">
        <v>2557</v>
      </c>
      <c r="C285" s="2" t="n">
        <v>4</v>
      </c>
      <c r="D285" s="2" t="s">
        <v>1887</v>
      </c>
      <c r="E285" s="2" t="s">
        <v>35</v>
      </c>
      <c r="F285" s="2" t="s">
        <v>2564</v>
      </c>
      <c r="G285" s="2" t="s">
        <v>1937</v>
      </c>
      <c r="H285" s="2" t="s">
        <v>2557</v>
      </c>
      <c r="I285" s="2" t="s">
        <v>1044</v>
      </c>
      <c r="J285" s="2" t="s">
        <v>463</v>
      </c>
    </row>
    <row r="286" customFormat="false" ht="15" hidden="false" customHeight="false" outlineLevel="0" collapsed="false">
      <c r="A286" s="2" t="s">
        <v>2565</v>
      </c>
      <c r="B286" s="2" t="s">
        <v>2557</v>
      </c>
      <c r="C286" s="2" t="n">
        <v>5</v>
      </c>
      <c r="D286" s="2" t="s">
        <v>1892</v>
      </c>
      <c r="E286" s="2" t="s">
        <v>35</v>
      </c>
      <c r="F286" s="2" t="s">
        <v>2566</v>
      </c>
      <c r="G286" s="2" t="s">
        <v>1937</v>
      </c>
      <c r="H286" s="2" t="s">
        <v>2557</v>
      </c>
      <c r="I286" s="2" t="s">
        <v>1044</v>
      </c>
      <c r="J286" s="2" t="s">
        <v>463</v>
      </c>
    </row>
    <row r="287" customFormat="false" ht="15" hidden="false" customHeight="false" outlineLevel="0" collapsed="false">
      <c r="A287" s="2" t="s">
        <v>2567</v>
      </c>
      <c r="B287" s="2" t="s">
        <v>2568</v>
      </c>
      <c r="C287" s="2" t="n">
        <v>1</v>
      </c>
      <c r="D287" s="2" t="s">
        <v>1879</v>
      </c>
      <c r="E287" s="2" t="s">
        <v>33</v>
      </c>
      <c r="F287" s="2" t="s">
        <v>2569</v>
      </c>
      <c r="G287" s="2" t="s">
        <v>1937</v>
      </c>
      <c r="H287" s="2" t="s">
        <v>2568</v>
      </c>
      <c r="I287" s="2" t="s">
        <v>551</v>
      </c>
      <c r="J287" s="2" t="s">
        <v>2570</v>
      </c>
    </row>
    <row r="288" customFormat="false" ht="15" hidden="false" customHeight="false" outlineLevel="0" collapsed="false">
      <c r="A288" s="2" t="s">
        <v>2571</v>
      </c>
      <c r="B288" s="2" t="s">
        <v>2568</v>
      </c>
      <c r="C288" s="2" t="n">
        <v>2</v>
      </c>
      <c r="D288" s="2" t="s">
        <v>1884</v>
      </c>
      <c r="E288" s="2" t="s">
        <v>34</v>
      </c>
      <c r="F288" s="2" t="s">
        <v>2572</v>
      </c>
      <c r="G288" s="2" t="s">
        <v>1937</v>
      </c>
      <c r="H288" s="2" t="s">
        <v>2568</v>
      </c>
      <c r="I288" s="2" t="s">
        <v>611</v>
      </c>
      <c r="J288" s="2" t="s">
        <v>2570</v>
      </c>
    </row>
    <row r="289" customFormat="false" ht="15" hidden="false" customHeight="false" outlineLevel="0" collapsed="false">
      <c r="A289" s="2" t="s">
        <v>2573</v>
      </c>
      <c r="B289" s="2" t="s">
        <v>2568</v>
      </c>
      <c r="C289" s="2" t="n">
        <v>3</v>
      </c>
      <c r="D289" s="2" t="s">
        <v>1887</v>
      </c>
      <c r="E289" s="2" t="s">
        <v>35</v>
      </c>
      <c r="F289" s="2" t="s">
        <v>2574</v>
      </c>
      <c r="G289" s="2" t="s">
        <v>1937</v>
      </c>
      <c r="H289" s="2" t="s">
        <v>2568</v>
      </c>
      <c r="I289" s="2" t="s">
        <v>1070</v>
      </c>
      <c r="J289" s="2" t="s">
        <v>2570</v>
      </c>
    </row>
    <row r="290" customFormat="false" ht="15" hidden="false" customHeight="false" outlineLevel="0" collapsed="false">
      <c r="A290" s="2" t="s">
        <v>2575</v>
      </c>
      <c r="B290" s="2" t="s">
        <v>2568</v>
      </c>
      <c r="C290" s="2" t="n">
        <v>4</v>
      </c>
      <c r="D290" s="2" t="s">
        <v>1887</v>
      </c>
      <c r="E290" s="2" t="s">
        <v>35</v>
      </c>
      <c r="F290" s="2" t="s">
        <v>2576</v>
      </c>
      <c r="G290" s="2" t="s">
        <v>1937</v>
      </c>
      <c r="H290" s="2" t="s">
        <v>2568</v>
      </c>
      <c r="I290" s="2" t="s">
        <v>1070</v>
      </c>
      <c r="J290" s="2" t="s">
        <v>2570</v>
      </c>
    </row>
    <row r="291" customFormat="false" ht="15" hidden="false" customHeight="false" outlineLevel="0" collapsed="false">
      <c r="A291" s="2" t="s">
        <v>2577</v>
      </c>
      <c r="B291" s="2" t="s">
        <v>2568</v>
      </c>
      <c r="C291" s="2" t="n">
        <v>5</v>
      </c>
      <c r="D291" s="2" t="s">
        <v>1892</v>
      </c>
      <c r="E291" s="2" t="s">
        <v>35</v>
      </c>
      <c r="F291" s="2" t="s">
        <v>2578</v>
      </c>
      <c r="G291" s="2" t="s">
        <v>1937</v>
      </c>
      <c r="H291" s="2" t="s">
        <v>2568</v>
      </c>
      <c r="I291" s="2" t="s">
        <v>1070</v>
      </c>
      <c r="J291" s="2" t="s">
        <v>2570</v>
      </c>
    </row>
    <row r="292" customFormat="false" ht="15" hidden="false" customHeight="false" outlineLevel="0" collapsed="false">
      <c r="A292" s="2" t="s">
        <v>2579</v>
      </c>
      <c r="B292" s="2" t="s">
        <v>2580</v>
      </c>
      <c r="C292" s="2" t="n">
        <v>1</v>
      </c>
      <c r="D292" s="2" t="s">
        <v>1879</v>
      </c>
      <c r="E292" s="2" t="s">
        <v>33</v>
      </c>
      <c r="F292" s="2" t="s">
        <v>2581</v>
      </c>
      <c r="G292" s="2" t="s">
        <v>1937</v>
      </c>
      <c r="H292" s="2" t="s">
        <v>2580</v>
      </c>
      <c r="I292" s="2" t="s">
        <v>551</v>
      </c>
      <c r="J292" s="2" t="s">
        <v>2582</v>
      </c>
    </row>
    <row r="293" customFormat="false" ht="15" hidden="false" customHeight="false" outlineLevel="0" collapsed="false">
      <c r="A293" s="2" t="s">
        <v>2583</v>
      </c>
      <c r="B293" s="2" t="s">
        <v>2580</v>
      </c>
      <c r="C293" s="2" t="n">
        <v>2</v>
      </c>
      <c r="D293" s="2" t="s">
        <v>1884</v>
      </c>
      <c r="E293" s="2" t="s">
        <v>34</v>
      </c>
      <c r="F293" s="2" t="s">
        <v>2584</v>
      </c>
      <c r="G293" s="2" t="s">
        <v>1937</v>
      </c>
      <c r="H293" s="2" t="s">
        <v>2580</v>
      </c>
      <c r="I293" s="2" t="s">
        <v>611</v>
      </c>
      <c r="J293" s="2" t="s">
        <v>2582</v>
      </c>
    </row>
    <row r="294" customFormat="false" ht="15" hidden="false" customHeight="false" outlineLevel="0" collapsed="false">
      <c r="A294" s="2" t="s">
        <v>2585</v>
      </c>
      <c r="B294" s="2" t="s">
        <v>2580</v>
      </c>
      <c r="C294" s="2" t="n">
        <v>3</v>
      </c>
      <c r="D294" s="2" t="s">
        <v>1887</v>
      </c>
      <c r="E294" s="2" t="s">
        <v>35</v>
      </c>
      <c r="F294" s="2" t="s">
        <v>2586</v>
      </c>
      <c r="G294" s="2" t="s">
        <v>1937</v>
      </c>
      <c r="H294" s="2" t="s">
        <v>2580</v>
      </c>
      <c r="I294" s="2" t="s">
        <v>1070</v>
      </c>
      <c r="J294" s="2" t="s">
        <v>2582</v>
      </c>
    </row>
    <row r="295" customFormat="false" ht="15" hidden="false" customHeight="false" outlineLevel="0" collapsed="false">
      <c r="A295" s="2" t="s">
        <v>2587</v>
      </c>
      <c r="B295" s="2" t="s">
        <v>2580</v>
      </c>
      <c r="C295" s="2" t="n">
        <v>4</v>
      </c>
      <c r="D295" s="2" t="s">
        <v>1887</v>
      </c>
      <c r="E295" s="2" t="s">
        <v>35</v>
      </c>
      <c r="F295" s="2" t="s">
        <v>2588</v>
      </c>
      <c r="G295" s="2" t="s">
        <v>1937</v>
      </c>
      <c r="H295" s="2" t="s">
        <v>2580</v>
      </c>
      <c r="I295" s="2" t="s">
        <v>1070</v>
      </c>
      <c r="J295" s="2" t="s">
        <v>2582</v>
      </c>
    </row>
    <row r="296" customFormat="false" ht="15" hidden="false" customHeight="false" outlineLevel="0" collapsed="false">
      <c r="A296" s="2" t="s">
        <v>2589</v>
      </c>
      <c r="B296" s="2" t="s">
        <v>2580</v>
      </c>
      <c r="C296" s="2" t="n">
        <v>5</v>
      </c>
      <c r="D296" s="2" t="s">
        <v>1892</v>
      </c>
      <c r="E296" s="2" t="s">
        <v>35</v>
      </c>
      <c r="F296" s="2" t="s">
        <v>2590</v>
      </c>
      <c r="G296" s="2" t="s">
        <v>1937</v>
      </c>
      <c r="H296" s="2" t="s">
        <v>2580</v>
      </c>
      <c r="I296" s="2" t="s">
        <v>1070</v>
      </c>
      <c r="J296" s="2" t="s">
        <v>2582</v>
      </c>
    </row>
    <row r="297" customFormat="false" ht="15" hidden="false" customHeight="false" outlineLevel="0" collapsed="false">
      <c r="A297" s="2" t="s">
        <v>2591</v>
      </c>
      <c r="B297" s="2" t="s">
        <v>2592</v>
      </c>
      <c r="C297" s="2" t="n">
        <v>1</v>
      </c>
      <c r="D297" s="2" t="s">
        <v>1879</v>
      </c>
      <c r="E297" s="2" t="s">
        <v>33</v>
      </c>
      <c r="F297" s="2" t="s">
        <v>2593</v>
      </c>
      <c r="G297" s="2" t="s">
        <v>2594</v>
      </c>
      <c r="H297" s="2" t="s">
        <v>2595</v>
      </c>
      <c r="I297" s="2" t="s">
        <v>551</v>
      </c>
      <c r="J297" s="2" t="s">
        <v>2596</v>
      </c>
    </row>
    <row r="298" customFormat="false" ht="15" hidden="false" customHeight="false" outlineLevel="0" collapsed="false">
      <c r="A298" s="2" t="s">
        <v>2597</v>
      </c>
      <c r="B298" s="2" t="s">
        <v>2592</v>
      </c>
      <c r="C298" s="2" t="n">
        <v>2</v>
      </c>
      <c r="D298" s="2" t="s">
        <v>1884</v>
      </c>
      <c r="E298" s="2" t="s">
        <v>34</v>
      </c>
      <c r="F298" s="2" t="s">
        <v>2598</v>
      </c>
      <c r="G298" s="2" t="s">
        <v>2594</v>
      </c>
      <c r="H298" s="2" t="s">
        <v>2595</v>
      </c>
      <c r="I298" s="2" t="s">
        <v>611</v>
      </c>
      <c r="J298" s="2" t="s">
        <v>2596</v>
      </c>
    </row>
    <row r="299" customFormat="false" ht="15" hidden="false" customHeight="false" outlineLevel="0" collapsed="false">
      <c r="A299" s="2" t="s">
        <v>2599</v>
      </c>
      <c r="B299" s="2" t="s">
        <v>2592</v>
      </c>
      <c r="C299" s="2" t="n">
        <v>3</v>
      </c>
      <c r="D299" s="2" t="s">
        <v>1887</v>
      </c>
      <c r="E299" s="2" t="s">
        <v>35</v>
      </c>
      <c r="F299" s="2" t="s">
        <v>2600</v>
      </c>
      <c r="G299" s="2" t="s">
        <v>2594</v>
      </c>
      <c r="H299" s="2" t="s">
        <v>2595</v>
      </c>
      <c r="I299" s="2" t="s">
        <v>1070</v>
      </c>
      <c r="J299" s="2" t="s">
        <v>2596</v>
      </c>
    </row>
    <row r="300" customFormat="false" ht="15" hidden="false" customHeight="false" outlineLevel="0" collapsed="false">
      <c r="A300" s="2" t="s">
        <v>2601</v>
      </c>
      <c r="B300" s="2" t="s">
        <v>2592</v>
      </c>
      <c r="C300" s="2" t="n">
        <v>4</v>
      </c>
      <c r="D300" s="2" t="s">
        <v>1887</v>
      </c>
      <c r="E300" s="2" t="s">
        <v>35</v>
      </c>
      <c r="F300" s="2" t="s">
        <v>2602</v>
      </c>
      <c r="G300" s="2" t="s">
        <v>2594</v>
      </c>
      <c r="H300" s="2" t="s">
        <v>2595</v>
      </c>
      <c r="I300" s="2" t="s">
        <v>1070</v>
      </c>
      <c r="J300" s="2" t="s">
        <v>2596</v>
      </c>
    </row>
    <row r="301" customFormat="false" ht="15" hidden="false" customHeight="false" outlineLevel="0" collapsed="false">
      <c r="A301" s="2" t="s">
        <v>2603</v>
      </c>
      <c r="B301" s="2" t="s">
        <v>2592</v>
      </c>
      <c r="C301" s="2" t="n">
        <v>5</v>
      </c>
      <c r="D301" s="2" t="s">
        <v>1892</v>
      </c>
      <c r="E301" s="2" t="s">
        <v>35</v>
      </c>
      <c r="F301" s="2" t="s">
        <v>2604</v>
      </c>
      <c r="G301" s="2" t="s">
        <v>2594</v>
      </c>
      <c r="H301" s="2" t="s">
        <v>2595</v>
      </c>
      <c r="I301" s="2" t="s">
        <v>1070</v>
      </c>
      <c r="J301" s="2" t="s">
        <v>2596</v>
      </c>
    </row>
    <row r="302" customFormat="false" ht="15" hidden="false" customHeight="false" outlineLevel="0" collapsed="false">
      <c r="A302" s="2" t="s">
        <v>2605</v>
      </c>
      <c r="B302" s="2" t="s">
        <v>701</v>
      </c>
      <c r="C302" s="2" t="n">
        <v>1</v>
      </c>
      <c r="D302" s="2" t="s">
        <v>1879</v>
      </c>
      <c r="E302" s="2" t="s">
        <v>33</v>
      </c>
      <c r="F302" s="2" t="s">
        <v>2606</v>
      </c>
      <c r="G302" s="2" t="s">
        <v>1937</v>
      </c>
      <c r="H302" s="2" t="s">
        <v>701</v>
      </c>
      <c r="I302" s="2" t="s">
        <v>551</v>
      </c>
      <c r="J302" s="2" t="s">
        <v>704</v>
      </c>
    </row>
    <row r="303" customFormat="false" ht="15" hidden="false" customHeight="false" outlineLevel="0" collapsed="false">
      <c r="A303" s="2" t="s">
        <v>2607</v>
      </c>
      <c r="B303" s="2" t="s">
        <v>701</v>
      </c>
      <c r="C303" s="2" t="n">
        <v>2</v>
      </c>
      <c r="D303" s="2" t="s">
        <v>1884</v>
      </c>
      <c r="E303" s="2" t="s">
        <v>34</v>
      </c>
      <c r="F303" s="2" t="s">
        <v>2608</v>
      </c>
      <c r="G303" s="2" t="s">
        <v>1937</v>
      </c>
      <c r="H303" s="2" t="s">
        <v>701</v>
      </c>
      <c r="I303" s="2" t="s">
        <v>700</v>
      </c>
      <c r="J303" s="2" t="s">
        <v>704</v>
      </c>
    </row>
    <row r="304" customFormat="false" ht="15" hidden="false" customHeight="false" outlineLevel="0" collapsed="false">
      <c r="A304" s="2" t="s">
        <v>2609</v>
      </c>
      <c r="B304" s="2" t="s">
        <v>701</v>
      </c>
      <c r="C304" s="2" t="n">
        <v>3</v>
      </c>
      <c r="D304" s="2" t="s">
        <v>1887</v>
      </c>
      <c r="E304" s="2" t="s">
        <v>35</v>
      </c>
      <c r="F304" s="2" t="s">
        <v>2610</v>
      </c>
      <c r="G304" s="2" t="s">
        <v>1937</v>
      </c>
      <c r="H304" s="2" t="s">
        <v>701</v>
      </c>
      <c r="I304" s="2" t="s">
        <v>1077</v>
      </c>
      <c r="J304" s="2" t="s">
        <v>704</v>
      </c>
    </row>
    <row r="305" customFormat="false" ht="15" hidden="false" customHeight="false" outlineLevel="0" collapsed="false">
      <c r="A305" s="2" t="s">
        <v>2611</v>
      </c>
      <c r="B305" s="2" t="s">
        <v>701</v>
      </c>
      <c r="C305" s="2" t="n">
        <v>4</v>
      </c>
      <c r="D305" s="2" t="s">
        <v>1887</v>
      </c>
      <c r="E305" s="2" t="s">
        <v>35</v>
      </c>
      <c r="F305" s="2" t="s">
        <v>2612</v>
      </c>
      <c r="G305" s="2" t="s">
        <v>1937</v>
      </c>
      <c r="H305" s="2" t="s">
        <v>701</v>
      </c>
      <c r="I305" s="2" t="s">
        <v>1077</v>
      </c>
      <c r="J305" s="2" t="s">
        <v>704</v>
      </c>
    </row>
    <row r="306" customFormat="false" ht="15" hidden="false" customHeight="false" outlineLevel="0" collapsed="false">
      <c r="A306" s="2" t="s">
        <v>2613</v>
      </c>
      <c r="B306" s="2" t="s">
        <v>701</v>
      </c>
      <c r="C306" s="2" t="n">
        <v>5</v>
      </c>
      <c r="D306" s="2" t="s">
        <v>1892</v>
      </c>
      <c r="E306" s="2" t="s">
        <v>35</v>
      </c>
      <c r="F306" s="2" t="s">
        <v>2614</v>
      </c>
      <c r="G306" s="2" t="s">
        <v>1937</v>
      </c>
      <c r="H306" s="2" t="s">
        <v>701</v>
      </c>
      <c r="I306" s="2" t="s">
        <v>1077</v>
      </c>
      <c r="J306" s="2" t="s">
        <v>704</v>
      </c>
    </row>
    <row r="307" customFormat="false" ht="15" hidden="false" customHeight="false" outlineLevel="0" collapsed="false">
      <c r="A307" s="2" t="s">
        <v>2615</v>
      </c>
      <c r="B307" s="2" t="s">
        <v>881</v>
      </c>
      <c r="C307" s="2" t="n">
        <v>1</v>
      </c>
      <c r="D307" s="2" t="s">
        <v>1879</v>
      </c>
      <c r="E307" s="2" t="s">
        <v>33</v>
      </c>
      <c r="F307" s="2" t="s">
        <v>2616</v>
      </c>
      <c r="G307" s="2" t="s">
        <v>2250</v>
      </c>
      <c r="H307" s="2" t="s">
        <v>881</v>
      </c>
      <c r="I307" s="2" t="s">
        <v>557</v>
      </c>
      <c r="J307" s="2" t="s">
        <v>885</v>
      </c>
    </row>
    <row r="308" customFormat="false" ht="15" hidden="false" customHeight="false" outlineLevel="0" collapsed="false">
      <c r="A308" s="2" t="s">
        <v>2617</v>
      </c>
      <c r="B308" s="2" t="s">
        <v>881</v>
      </c>
      <c r="C308" s="2" t="n">
        <v>2</v>
      </c>
      <c r="D308" s="2" t="s">
        <v>1884</v>
      </c>
      <c r="E308" s="2" t="s">
        <v>34</v>
      </c>
      <c r="F308" s="2" t="s">
        <v>2618</v>
      </c>
      <c r="G308" s="2" t="s">
        <v>2250</v>
      </c>
      <c r="H308" s="2" t="s">
        <v>881</v>
      </c>
      <c r="I308" s="2" t="s">
        <v>880</v>
      </c>
      <c r="J308" s="2" t="s">
        <v>885</v>
      </c>
    </row>
    <row r="309" customFormat="false" ht="15" hidden="false" customHeight="false" outlineLevel="0" collapsed="false">
      <c r="A309" s="2" t="s">
        <v>2619</v>
      </c>
      <c r="B309" s="2" t="s">
        <v>881</v>
      </c>
      <c r="C309" s="2" t="n">
        <v>3</v>
      </c>
      <c r="D309" s="2" t="s">
        <v>1887</v>
      </c>
      <c r="E309" s="2" t="s">
        <v>35</v>
      </c>
      <c r="F309" s="2" t="s">
        <v>2620</v>
      </c>
      <c r="G309" s="2" t="s">
        <v>2250</v>
      </c>
      <c r="H309" s="2" t="s">
        <v>881</v>
      </c>
      <c r="I309" s="2" t="s">
        <v>1118</v>
      </c>
      <c r="J309" s="2" t="s">
        <v>885</v>
      </c>
    </row>
    <row r="310" customFormat="false" ht="15" hidden="false" customHeight="false" outlineLevel="0" collapsed="false">
      <c r="A310" s="2" t="s">
        <v>2621</v>
      </c>
      <c r="B310" s="2" t="s">
        <v>881</v>
      </c>
      <c r="C310" s="2" t="n">
        <v>4</v>
      </c>
      <c r="D310" s="2" t="s">
        <v>1887</v>
      </c>
      <c r="E310" s="2" t="s">
        <v>35</v>
      </c>
      <c r="F310" s="2" t="s">
        <v>2622</v>
      </c>
      <c r="G310" s="2" t="s">
        <v>2250</v>
      </c>
      <c r="H310" s="2" t="s">
        <v>881</v>
      </c>
      <c r="I310" s="2" t="s">
        <v>1118</v>
      </c>
      <c r="J310" s="2" t="s">
        <v>885</v>
      </c>
    </row>
    <row r="311" customFormat="false" ht="15" hidden="false" customHeight="false" outlineLevel="0" collapsed="false">
      <c r="A311" s="2" t="s">
        <v>2623</v>
      </c>
      <c r="B311" s="2" t="s">
        <v>881</v>
      </c>
      <c r="C311" s="2" t="n">
        <v>5</v>
      </c>
      <c r="D311" s="2" t="s">
        <v>1892</v>
      </c>
      <c r="E311" s="2" t="s">
        <v>35</v>
      </c>
      <c r="F311" s="2" t="s">
        <v>2624</v>
      </c>
      <c r="G311" s="2" t="s">
        <v>2250</v>
      </c>
      <c r="H311" s="2" t="s">
        <v>881</v>
      </c>
      <c r="I311" s="2" t="s">
        <v>1118</v>
      </c>
      <c r="J311" s="2" t="s">
        <v>885</v>
      </c>
    </row>
    <row r="312" customFormat="false" ht="15" hidden="false" customHeight="false" outlineLevel="0" collapsed="false">
      <c r="A312" s="2" t="s">
        <v>2625</v>
      </c>
      <c r="B312" s="2" t="s">
        <v>2626</v>
      </c>
      <c r="C312" s="2" t="n">
        <v>1</v>
      </c>
      <c r="D312" s="2" t="s">
        <v>1879</v>
      </c>
      <c r="E312" s="2" t="s">
        <v>33</v>
      </c>
      <c r="F312" s="2" t="s">
        <v>2627</v>
      </c>
      <c r="G312" s="2" t="s">
        <v>1937</v>
      </c>
      <c r="H312" s="2" t="s">
        <v>2626</v>
      </c>
      <c r="I312" s="2" t="s">
        <v>570</v>
      </c>
      <c r="J312" s="2" t="s">
        <v>1238</v>
      </c>
    </row>
    <row r="313" customFormat="false" ht="15" hidden="false" customHeight="false" outlineLevel="0" collapsed="false">
      <c r="A313" s="2" t="s">
        <v>2628</v>
      </c>
      <c r="B313" s="2" t="s">
        <v>2626</v>
      </c>
      <c r="C313" s="2" t="n">
        <v>2</v>
      </c>
      <c r="D313" s="2" t="s">
        <v>1884</v>
      </c>
      <c r="E313" s="2" t="s">
        <v>34</v>
      </c>
      <c r="F313" s="2" t="s">
        <v>2629</v>
      </c>
      <c r="G313" s="2" t="s">
        <v>1937</v>
      </c>
      <c r="H313" s="2" t="s">
        <v>2626</v>
      </c>
      <c r="I313" s="2" t="s">
        <v>1021</v>
      </c>
      <c r="J313" s="2" t="s">
        <v>1238</v>
      </c>
    </row>
    <row r="314" customFormat="false" ht="15" hidden="false" customHeight="false" outlineLevel="0" collapsed="false">
      <c r="A314" s="2" t="s">
        <v>2630</v>
      </c>
      <c r="B314" s="2" t="s">
        <v>2626</v>
      </c>
      <c r="C314" s="2" t="n">
        <v>3</v>
      </c>
      <c r="D314" s="2" t="s">
        <v>1887</v>
      </c>
      <c r="E314" s="2" t="s">
        <v>35</v>
      </c>
      <c r="F314" s="2" t="s">
        <v>2631</v>
      </c>
      <c r="G314" s="2" t="s">
        <v>1937</v>
      </c>
      <c r="H314" s="2" t="s">
        <v>2626</v>
      </c>
      <c r="I314" s="2" t="s">
        <v>1233</v>
      </c>
      <c r="J314" s="2" t="s">
        <v>1238</v>
      </c>
    </row>
    <row r="315" customFormat="false" ht="15" hidden="false" customHeight="false" outlineLevel="0" collapsed="false">
      <c r="A315" s="2" t="s">
        <v>2632</v>
      </c>
      <c r="B315" s="2" t="s">
        <v>2626</v>
      </c>
      <c r="C315" s="2" t="n">
        <v>4</v>
      </c>
      <c r="D315" s="2" t="s">
        <v>1887</v>
      </c>
      <c r="E315" s="2" t="s">
        <v>35</v>
      </c>
      <c r="F315" s="2" t="s">
        <v>2633</v>
      </c>
      <c r="G315" s="2" t="s">
        <v>1937</v>
      </c>
      <c r="H315" s="2" t="s">
        <v>2626</v>
      </c>
      <c r="I315" s="2" t="s">
        <v>1233</v>
      </c>
      <c r="J315" s="2" t="s">
        <v>1238</v>
      </c>
    </row>
    <row r="316" customFormat="false" ht="15" hidden="false" customHeight="false" outlineLevel="0" collapsed="false">
      <c r="A316" s="2" t="s">
        <v>2634</v>
      </c>
      <c r="B316" s="2" t="s">
        <v>2626</v>
      </c>
      <c r="C316" s="2" t="n">
        <v>5</v>
      </c>
      <c r="D316" s="2" t="s">
        <v>1892</v>
      </c>
      <c r="E316" s="2" t="s">
        <v>35</v>
      </c>
      <c r="F316" s="2" t="s">
        <v>2635</v>
      </c>
      <c r="G316" s="2" t="s">
        <v>1937</v>
      </c>
      <c r="H316" s="2" t="s">
        <v>2626</v>
      </c>
      <c r="I316" s="2" t="s">
        <v>1233</v>
      </c>
      <c r="J316" s="2" t="s">
        <v>1238</v>
      </c>
    </row>
    <row r="317" customFormat="false" ht="15" hidden="false" customHeight="false" outlineLevel="0" collapsed="false">
      <c r="A317" s="2" t="s">
        <v>2636</v>
      </c>
      <c r="B317" s="2" t="s">
        <v>794</v>
      </c>
      <c r="C317" s="2" t="n">
        <v>1</v>
      </c>
      <c r="D317" s="2" t="s">
        <v>1879</v>
      </c>
      <c r="E317" s="2" t="s">
        <v>33</v>
      </c>
      <c r="F317" s="2" t="s">
        <v>2637</v>
      </c>
      <c r="G317" s="2" t="s">
        <v>2638</v>
      </c>
      <c r="H317" s="2" t="s">
        <v>794</v>
      </c>
      <c r="I317" s="2" t="s">
        <v>557</v>
      </c>
      <c r="J317" s="2" t="s">
        <v>798</v>
      </c>
    </row>
    <row r="318" customFormat="false" ht="15" hidden="false" customHeight="false" outlineLevel="0" collapsed="false">
      <c r="A318" s="2" t="s">
        <v>2639</v>
      </c>
      <c r="B318" s="2" t="s">
        <v>794</v>
      </c>
      <c r="C318" s="2" t="n">
        <v>2</v>
      </c>
      <c r="D318" s="2" t="s">
        <v>1884</v>
      </c>
      <c r="E318" s="2" t="s">
        <v>34</v>
      </c>
      <c r="F318" s="2" t="s">
        <v>2640</v>
      </c>
      <c r="G318" s="2" t="s">
        <v>2638</v>
      </c>
      <c r="H318" s="2" t="s">
        <v>794</v>
      </c>
      <c r="I318" s="2" t="s">
        <v>793</v>
      </c>
      <c r="J318" s="2" t="s">
        <v>798</v>
      </c>
    </row>
    <row r="319" customFormat="false" ht="15" hidden="false" customHeight="false" outlineLevel="0" collapsed="false">
      <c r="A319" s="2" t="s">
        <v>2641</v>
      </c>
      <c r="B319" s="2" t="s">
        <v>794</v>
      </c>
      <c r="C319" s="2" t="n">
        <v>3</v>
      </c>
      <c r="D319" s="2" t="s">
        <v>1887</v>
      </c>
      <c r="E319" s="2" t="s">
        <v>35</v>
      </c>
      <c r="F319" s="2" t="s">
        <v>2642</v>
      </c>
      <c r="G319" s="2" t="s">
        <v>2638</v>
      </c>
      <c r="H319" s="2" t="s">
        <v>794</v>
      </c>
      <c r="I319" s="2" t="s">
        <v>1136</v>
      </c>
      <c r="J319" s="2" t="s">
        <v>798</v>
      </c>
    </row>
    <row r="320" customFormat="false" ht="15" hidden="false" customHeight="false" outlineLevel="0" collapsed="false">
      <c r="A320" s="2" t="s">
        <v>2643</v>
      </c>
      <c r="B320" s="2" t="s">
        <v>794</v>
      </c>
      <c r="C320" s="2" t="n">
        <v>4</v>
      </c>
      <c r="D320" s="2" t="s">
        <v>1887</v>
      </c>
      <c r="E320" s="2" t="s">
        <v>35</v>
      </c>
      <c r="F320" s="2" t="s">
        <v>2644</v>
      </c>
      <c r="G320" s="2" t="s">
        <v>2638</v>
      </c>
      <c r="H320" s="2" t="s">
        <v>794</v>
      </c>
      <c r="I320" s="2" t="s">
        <v>1136</v>
      </c>
      <c r="J320" s="2" t="s">
        <v>798</v>
      </c>
    </row>
    <row r="321" customFormat="false" ht="15" hidden="false" customHeight="false" outlineLevel="0" collapsed="false">
      <c r="A321" s="2" t="s">
        <v>2645</v>
      </c>
      <c r="B321" s="2" t="s">
        <v>794</v>
      </c>
      <c r="C321" s="2" t="n">
        <v>5</v>
      </c>
      <c r="D321" s="2" t="s">
        <v>1892</v>
      </c>
      <c r="E321" s="2" t="s">
        <v>35</v>
      </c>
      <c r="F321" s="2" t="s">
        <v>2646</v>
      </c>
      <c r="G321" s="2" t="s">
        <v>2638</v>
      </c>
      <c r="H321" s="2" t="s">
        <v>794</v>
      </c>
      <c r="I321" s="2" t="s">
        <v>1136</v>
      </c>
      <c r="J321" s="2" t="s">
        <v>798</v>
      </c>
    </row>
    <row r="322" customFormat="false" ht="15" hidden="false" customHeight="false" outlineLevel="0" collapsed="false">
      <c r="A322" s="2" t="s">
        <v>2647</v>
      </c>
      <c r="B322" s="2" t="s">
        <v>2648</v>
      </c>
      <c r="C322" s="2" t="n">
        <v>1</v>
      </c>
      <c r="D322" s="2" t="s">
        <v>1879</v>
      </c>
      <c r="E322" s="2" t="s">
        <v>33</v>
      </c>
      <c r="F322" s="2" t="s">
        <v>2649</v>
      </c>
      <c r="G322" s="2" t="s">
        <v>1910</v>
      </c>
      <c r="H322" s="2" t="s">
        <v>2648</v>
      </c>
      <c r="I322" s="2" t="s">
        <v>551</v>
      </c>
      <c r="J322" s="2" t="s">
        <v>673</v>
      </c>
    </row>
    <row r="323" customFormat="false" ht="15" hidden="false" customHeight="false" outlineLevel="0" collapsed="false">
      <c r="A323" s="2" t="s">
        <v>2650</v>
      </c>
      <c r="B323" s="2" t="s">
        <v>2648</v>
      </c>
      <c r="C323" s="2" t="n">
        <v>2</v>
      </c>
      <c r="D323" s="2" t="s">
        <v>1884</v>
      </c>
      <c r="E323" s="2" t="s">
        <v>34</v>
      </c>
      <c r="F323" s="2" t="s">
        <v>2651</v>
      </c>
      <c r="G323" s="2" t="s">
        <v>1910</v>
      </c>
      <c r="H323" s="2" t="s">
        <v>2648</v>
      </c>
      <c r="I323" s="2" t="s">
        <v>668</v>
      </c>
      <c r="J323" s="2" t="s">
        <v>673</v>
      </c>
    </row>
    <row r="324" customFormat="false" ht="15" hidden="false" customHeight="false" outlineLevel="0" collapsed="false">
      <c r="A324" s="2" t="s">
        <v>2652</v>
      </c>
      <c r="B324" s="2" t="s">
        <v>2648</v>
      </c>
      <c r="C324" s="2" t="n">
        <v>3</v>
      </c>
      <c r="D324" s="2" t="s">
        <v>1887</v>
      </c>
      <c r="E324" s="2" t="s">
        <v>35</v>
      </c>
      <c r="F324" s="2" t="s">
        <v>2653</v>
      </c>
      <c r="G324" s="2" t="s">
        <v>1910</v>
      </c>
      <c r="H324" s="2" t="s">
        <v>2648</v>
      </c>
      <c r="I324" s="2" t="s">
        <v>1077</v>
      </c>
      <c r="J324" s="2" t="s">
        <v>673</v>
      </c>
    </row>
    <row r="325" customFormat="false" ht="15" hidden="false" customHeight="false" outlineLevel="0" collapsed="false">
      <c r="A325" s="2" t="s">
        <v>2654</v>
      </c>
      <c r="B325" s="2" t="s">
        <v>2648</v>
      </c>
      <c r="C325" s="2" t="n">
        <v>4</v>
      </c>
      <c r="D325" s="2" t="s">
        <v>1887</v>
      </c>
      <c r="E325" s="2" t="s">
        <v>35</v>
      </c>
      <c r="F325" s="2" t="s">
        <v>2655</v>
      </c>
      <c r="G325" s="2" t="s">
        <v>1910</v>
      </c>
      <c r="H325" s="2" t="s">
        <v>2648</v>
      </c>
      <c r="I325" s="2" t="s">
        <v>1077</v>
      </c>
      <c r="J325" s="2" t="s">
        <v>673</v>
      </c>
    </row>
    <row r="326" customFormat="false" ht="15" hidden="false" customHeight="false" outlineLevel="0" collapsed="false">
      <c r="A326" s="2" t="s">
        <v>2656</v>
      </c>
      <c r="B326" s="2" t="s">
        <v>2648</v>
      </c>
      <c r="C326" s="2" t="n">
        <v>5</v>
      </c>
      <c r="D326" s="2" t="s">
        <v>1892</v>
      </c>
      <c r="E326" s="2" t="s">
        <v>35</v>
      </c>
      <c r="F326" s="2" t="s">
        <v>2657</v>
      </c>
      <c r="G326" s="2" t="s">
        <v>1910</v>
      </c>
      <c r="H326" s="2" t="s">
        <v>2648</v>
      </c>
      <c r="I326" s="2" t="s">
        <v>1077</v>
      </c>
      <c r="J326" s="2" t="s">
        <v>673</v>
      </c>
    </row>
    <row r="327" customFormat="false" ht="15" hidden="false" customHeight="false" outlineLevel="0" collapsed="false">
      <c r="A327" s="2" t="s">
        <v>2658</v>
      </c>
      <c r="B327" s="2" t="s">
        <v>2659</v>
      </c>
      <c r="C327" s="2" t="n">
        <v>1</v>
      </c>
      <c r="D327" s="2" t="s">
        <v>1879</v>
      </c>
      <c r="E327" s="2" t="s">
        <v>33</v>
      </c>
      <c r="F327" s="2" t="s">
        <v>2660</v>
      </c>
      <c r="G327" s="2" t="s">
        <v>2594</v>
      </c>
      <c r="H327" s="2" t="s">
        <v>2659</v>
      </c>
      <c r="I327" s="2" t="s">
        <v>551</v>
      </c>
      <c r="J327" s="2" t="s">
        <v>679</v>
      </c>
    </row>
    <row r="328" customFormat="false" ht="15" hidden="false" customHeight="false" outlineLevel="0" collapsed="false">
      <c r="A328" s="2" t="s">
        <v>2661</v>
      </c>
      <c r="B328" s="2" t="s">
        <v>2659</v>
      </c>
      <c r="C328" s="2" t="n">
        <v>2</v>
      </c>
      <c r="D328" s="2" t="s">
        <v>1884</v>
      </c>
      <c r="E328" s="2" t="s">
        <v>34</v>
      </c>
      <c r="F328" s="2" t="s">
        <v>2662</v>
      </c>
      <c r="G328" s="2" t="s">
        <v>2594</v>
      </c>
      <c r="H328" s="2" t="s">
        <v>2659</v>
      </c>
      <c r="I328" s="2" t="s">
        <v>675</v>
      </c>
      <c r="J328" s="2" t="s">
        <v>679</v>
      </c>
    </row>
    <row r="329" customFormat="false" ht="15" hidden="false" customHeight="false" outlineLevel="0" collapsed="false">
      <c r="A329" s="2" t="s">
        <v>2663</v>
      </c>
      <c r="B329" s="2" t="s">
        <v>2659</v>
      </c>
      <c r="C329" s="2" t="n">
        <v>3</v>
      </c>
      <c r="D329" s="2" t="s">
        <v>1887</v>
      </c>
      <c r="E329" s="2" t="s">
        <v>35</v>
      </c>
      <c r="F329" s="2" t="s">
        <v>2664</v>
      </c>
      <c r="G329" s="2" t="s">
        <v>2594</v>
      </c>
      <c r="H329" s="2" t="s">
        <v>2659</v>
      </c>
      <c r="I329" s="2" t="s">
        <v>1077</v>
      </c>
      <c r="J329" s="2" t="s">
        <v>679</v>
      </c>
    </row>
    <row r="330" customFormat="false" ht="15" hidden="false" customHeight="false" outlineLevel="0" collapsed="false">
      <c r="A330" s="2" t="s">
        <v>2665</v>
      </c>
      <c r="B330" s="2" t="s">
        <v>2659</v>
      </c>
      <c r="C330" s="2" t="n">
        <v>4</v>
      </c>
      <c r="D330" s="2" t="s">
        <v>1887</v>
      </c>
      <c r="E330" s="2" t="s">
        <v>35</v>
      </c>
      <c r="F330" s="2" t="s">
        <v>2666</v>
      </c>
      <c r="G330" s="2" t="s">
        <v>2594</v>
      </c>
      <c r="H330" s="2" t="s">
        <v>2659</v>
      </c>
      <c r="I330" s="2" t="s">
        <v>1077</v>
      </c>
      <c r="J330" s="2" t="s">
        <v>679</v>
      </c>
    </row>
    <row r="331" customFormat="false" ht="15" hidden="false" customHeight="false" outlineLevel="0" collapsed="false">
      <c r="A331" s="2" t="s">
        <v>2667</v>
      </c>
      <c r="B331" s="2" t="s">
        <v>2659</v>
      </c>
      <c r="C331" s="2" t="n">
        <v>5</v>
      </c>
      <c r="D331" s="2" t="s">
        <v>1892</v>
      </c>
      <c r="E331" s="2" t="s">
        <v>35</v>
      </c>
      <c r="F331" s="2" t="s">
        <v>2668</v>
      </c>
      <c r="G331" s="2" t="s">
        <v>2594</v>
      </c>
      <c r="H331" s="2" t="s">
        <v>2659</v>
      </c>
      <c r="I331" s="2" t="s">
        <v>1077</v>
      </c>
      <c r="J331" s="2" t="s">
        <v>679</v>
      </c>
    </row>
    <row r="332" customFormat="false" ht="15" hidden="false" customHeight="false" outlineLevel="0" collapsed="false">
      <c r="A332" s="2" t="s">
        <v>2669</v>
      </c>
      <c r="B332" s="2" t="s">
        <v>2670</v>
      </c>
      <c r="C332" s="2" t="n">
        <v>1</v>
      </c>
      <c r="D332" s="2" t="s">
        <v>1879</v>
      </c>
      <c r="E332" s="2" t="s">
        <v>33</v>
      </c>
      <c r="F332" s="2" t="s">
        <v>2671</v>
      </c>
      <c r="G332" s="2" t="s">
        <v>2428</v>
      </c>
      <c r="H332" s="2" t="s">
        <v>2670</v>
      </c>
      <c r="I332" s="2" t="s">
        <v>563</v>
      </c>
      <c r="J332" s="2" t="s">
        <v>978</v>
      </c>
    </row>
    <row r="333" customFormat="false" ht="15" hidden="false" customHeight="false" outlineLevel="0" collapsed="false">
      <c r="A333" s="2" t="s">
        <v>2672</v>
      </c>
      <c r="B333" s="2" t="s">
        <v>2670</v>
      </c>
      <c r="C333" s="2" t="n">
        <v>2</v>
      </c>
      <c r="D333" s="2" t="s">
        <v>1884</v>
      </c>
      <c r="E333" s="2" t="s">
        <v>34</v>
      </c>
      <c r="F333" s="2" t="s">
        <v>2673</v>
      </c>
      <c r="G333" s="2" t="s">
        <v>2428</v>
      </c>
      <c r="H333" s="2" t="s">
        <v>2670</v>
      </c>
      <c r="I333" s="2" t="s">
        <v>973</v>
      </c>
      <c r="J333" s="2" t="s">
        <v>978</v>
      </c>
    </row>
    <row r="334" customFormat="false" ht="15" hidden="false" customHeight="false" outlineLevel="0" collapsed="false">
      <c r="A334" s="2" t="s">
        <v>2674</v>
      </c>
      <c r="B334" s="2" t="s">
        <v>2670</v>
      </c>
      <c r="C334" s="2" t="n">
        <v>3</v>
      </c>
      <c r="D334" s="2" t="s">
        <v>1887</v>
      </c>
      <c r="E334" s="2" t="s">
        <v>35</v>
      </c>
      <c r="F334" s="2" t="s">
        <v>2675</v>
      </c>
      <c r="G334" s="2" t="s">
        <v>2428</v>
      </c>
      <c r="H334" s="2" t="s">
        <v>2670</v>
      </c>
      <c r="I334" s="2" t="s">
        <v>1155</v>
      </c>
      <c r="J334" s="2" t="s">
        <v>978</v>
      </c>
    </row>
    <row r="335" customFormat="false" ht="15" hidden="false" customHeight="false" outlineLevel="0" collapsed="false">
      <c r="A335" s="2" t="s">
        <v>2676</v>
      </c>
      <c r="B335" s="2" t="s">
        <v>2670</v>
      </c>
      <c r="C335" s="2" t="n">
        <v>4</v>
      </c>
      <c r="D335" s="2" t="s">
        <v>1887</v>
      </c>
      <c r="E335" s="2" t="s">
        <v>35</v>
      </c>
      <c r="F335" s="2" t="s">
        <v>2677</v>
      </c>
      <c r="G335" s="2" t="s">
        <v>2428</v>
      </c>
      <c r="H335" s="2" t="s">
        <v>2670</v>
      </c>
      <c r="I335" s="2" t="s">
        <v>1155</v>
      </c>
      <c r="J335" s="2" t="s">
        <v>978</v>
      </c>
    </row>
    <row r="336" customFormat="false" ht="15" hidden="false" customHeight="false" outlineLevel="0" collapsed="false">
      <c r="A336" s="2" t="s">
        <v>2678</v>
      </c>
      <c r="B336" s="2" t="s">
        <v>2670</v>
      </c>
      <c r="C336" s="2" t="n">
        <v>5</v>
      </c>
      <c r="D336" s="2" t="s">
        <v>1892</v>
      </c>
      <c r="E336" s="2" t="s">
        <v>35</v>
      </c>
      <c r="F336" s="2" t="s">
        <v>2679</v>
      </c>
      <c r="G336" s="2" t="s">
        <v>2428</v>
      </c>
      <c r="H336" s="2" t="s">
        <v>2670</v>
      </c>
      <c r="I336" s="2" t="s">
        <v>1155</v>
      </c>
      <c r="J336" s="2" t="s">
        <v>978</v>
      </c>
    </row>
    <row r="337" customFormat="false" ht="15" hidden="false" customHeight="false" outlineLevel="0" collapsed="false">
      <c r="A337" s="2" t="s">
        <v>2680</v>
      </c>
      <c r="B337" s="2" t="s">
        <v>1206</v>
      </c>
      <c r="C337" s="2" t="n">
        <v>1</v>
      </c>
      <c r="D337" s="2" t="s">
        <v>1879</v>
      </c>
      <c r="E337" s="2" t="s">
        <v>33</v>
      </c>
      <c r="F337" s="2" t="s">
        <v>2681</v>
      </c>
      <c r="G337" s="2" t="s">
        <v>2250</v>
      </c>
      <c r="H337" s="2" t="s">
        <v>1206</v>
      </c>
      <c r="I337" s="2" t="s">
        <v>570</v>
      </c>
      <c r="J337" s="2" t="s">
        <v>1210</v>
      </c>
    </row>
    <row r="338" customFormat="false" ht="15" hidden="false" customHeight="false" outlineLevel="0" collapsed="false">
      <c r="A338" s="2" t="s">
        <v>2682</v>
      </c>
      <c r="B338" s="2" t="s">
        <v>1206</v>
      </c>
      <c r="C338" s="2" t="n">
        <v>2</v>
      </c>
      <c r="D338" s="2" t="s">
        <v>1884</v>
      </c>
      <c r="E338" s="2" t="s">
        <v>34</v>
      </c>
      <c r="F338" s="2" t="s">
        <v>2683</v>
      </c>
      <c r="G338" s="2" t="s">
        <v>2250</v>
      </c>
      <c r="H338" s="2" t="s">
        <v>1206</v>
      </c>
      <c r="I338" s="2" t="s">
        <v>1021</v>
      </c>
      <c r="J338" s="2" t="s">
        <v>1210</v>
      </c>
    </row>
    <row r="339" customFormat="false" ht="15" hidden="false" customHeight="false" outlineLevel="0" collapsed="false">
      <c r="A339" s="2" t="s">
        <v>2684</v>
      </c>
      <c r="B339" s="2" t="s">
        <v>1206</v>
      </c>
      <c r="C339" s="2" t="n">
        <v>3</v>
      </c>
      <c r="D339" s="2" t="s">
        <v>1887</v>
      </c>
      <c r="E339" s="2" t="s">
        <v>35</v>
      </c>
      <c r="F339" s="2" t="s">
        <v>2685</v>
      </c>
      <c r="G339" s="2" t="s">
        <v>2250</v>
      </c>
      <c r="H339" s="2" t="s">
        <v>1206</v>
      </c>
      <c r="I339" s="2" t="s">
        <v>1205</v>
      </c>
      <c r="J339" s="2" t="s">
        <v>1210</v>
      </c>
    </row>
    <row r="340" customFormat="false" ht="15" hidden="false" customHeight="false" outlineLevel="0" collapsed="false">
      <c r="A340" s="2" t="s">
        <v>2686</v>
      </c>
      <c r="B340" s="2" t="s">
        <v>1206</v>
      </c>
      <c r="C340" s="2" t="n">
        <v>4</v>
      </c>
      <c r="D340" s="2" t="s">
        <v>1887</v>
      </c>
      <c r="E340" s="2" t="s">
        <v>35</v>
      </c>
      <c r="F340" s="2" t="s">
        <v>2687</v>
      </c>
      <c r="G340" s="2" t="s">
        <v>2250</v>
      </c>
      <c r="H340" s="2" t="s">
        <v>1206</v>
      </c>
      <c r="I340" s="2" t="s">
        <v>1205</v>
      </c>
      <c r="J340" s="2" t="s">
        <v>1210</v>
      </c>
    </row>
    <row r="341" customFormat="false" ht="15" hidden="false" customHeight="false" outlineLevel="0" collapsed="false">
      <c r="A341" s="2" t="s">
        <v>2688</v>
      </c>
      <c r="B341" s="2" t="s">
        <v>1206</v>
      </c>
      <c r="C341" s="2" t="n">
        <v>5</v>
      </c>
      <c r="D341" s="2" t="s">
        <v>1892</v>
      </c>
      <c r="E341" s="2" t="s">
        <v>35</v>
      </c>
      <c r="F341" s="2" t="s">
        <v>2689</v>
      </c>
      <c r="G341" s="2" t="s">
        <v>2250</v>
      </c>
      <c r="H341" s="2" t="s">
        <v>1206</v>
      </c>
      <c r="I341" s="2" t="s">
        <v>1205</v>
      </c>
      <c r="J341" s="2" t="s">
        <v>1210</v>
      </c>
    </row>
    <row r="342" customFormat="false" ht="15" hidden="false" customHeight="false" outlineLevel="0" collapsed="false">
      <c r="A342" s="2" t="s">
        <v>2690</v>
      </c>
      <c r="B342" s="2" t="s">
        <v>508</v>
      </c>
      <c r="C342" s="2" t="n">
        <v>1</v>
      </c>
      <c r="D342" s="2" t="s">
        <v>1879</v>
      </c>
      <c r="E342" s="2" t="s">
        <v>33</v>
      </c>
      <c r="F342" s="2" t="s">
        <v>2691</v>
      </c>
      <c r="G342" s="2" t="s">
        <v>2692</v>
      </c>
      <c r="H342" s="2" t="s">
        <v>508</v>
      </c>
      <c r="I342" s="2" t="s">
        <v>507</v>
      </c>
      <c r="J342" s="2" t="s">
        <v>512</v>
      </c>
    </row>
    <row r="343" customFormat="false" ht="15" hidden="false" customHeight="false" outlineLevel="0" collapsed="false">
      <c r="A343" s="2" t="s">
        <v>2693</v>
      </c>
      <c r="B343" s="2" t="s">
        <v>508</v>
      </c>
      <c r="C343" s="2" t="n">
        <v>2</v>
      </c>
      <c r="D343" s="2" t="s">
        <v>1884</v>
      </c>
      <c r="E343" s="2" t="s">
        <v>34</v>
      </c>
      <c r="F343" s="2" t="s">
        <v>2694</v>
      </c>
      <c r="G343" s="2" t="s">
        <v>2692</v>
      </c>
      <c r="H343" s="2" t="s">
        <v>508</v>
      </c>
      <c r="I343" s="2" t="s">
        <v>650</v>
      </c>
      <c r="J343" s="2" t="s">
        <v>512</v>
      </c>
    </row>
    <row r="344" customFormat="false" ht="15" hidden="false" customHeight="false" outlineLevel="0" collapsed="false">
      <c r="A344" s="2" t="s">
        <v>2695</v>
      </c>
      <c r="B344" s="2" t="s">
        <v>508</v>
      </c>
      <c r="C344" s="2" t="n">
        <v>3</v>
      </c>
      <c r="D344" s="2" t="s">
        <v>1887</v>
      </c>
      <c r="E344" s="2" t="s">
        <v>35</v>
      </c>
      <c r="F344" s="2" t="s">
        <v>2696</v>
      </c>
      <c r="G344" s="2" t="s">
        <v>2692</v>
      </c>
      <c r="H344" s="2" t="s">
        <v>508</v>
      </c>
      <c r="I344" s="2" t="s">
        <v>1084</v>
      </c>
      <c r="J344" s="2" t="s">
        <v>512</v>
      </c>
    </row>
    <row r="345" customFormat="false" ht="15" hidden="false" customHeight="false" outlineLevel="0" collapsed="false">
      <c r="A345" s="2" t="s">
        <v>2697</v>
      </c>
      <c r="B345" s="2" t="s">
        <v>508</v>
      </c>
      <c r="C345" s="2" t="n">
        <v>4</v>
      </c>
      <c r="D345" s="2" t="s">
        <v>1887</v>
      </c>
      <c r="E345" s="2" t="s">
        <v>35</v>
      </c>
      <c r="F345" s="2" t="s">
        <v>2698</v>
      </c>
      <c r="G345" s="2" t="s">
        <v>2692</v>
      </c>
      <c r="H345" s="2" t="s">
        <v>508</v>
      </c>
      <c r="I345" s="2" t="s">
        <v>1084</v>
      </c>
      <c r="J345" s="2" t="s">
        <v>512</v>
      </c>
    </row>
    <row r="346" customFormat="false" ht="15" hidden="false" customHeight="false" outlineLevel="0" collapsed="false">
      <c r="A346" s="2" t="s">
        <v>2699</v>
      </c>
      <c r="B346" s="2" t="s">
        <v>508</v>
      </c>
      <c r="C346" s="2" t="n">
        <v>5</v>
      </c>
      <c r="D346" s="2" t="s">
        <v>1892</v>
      </c>
      <c r="E346" s="2" t="s">
        <v>35</v>
      </c>
      <c r="F346" s="2" t="s">
        <v>2700</v>
      </c>
      <c r="G346" s="2" t="s">
        <v>2692</v>
      </c>
      <c r="H346" s="2" t="s">
        <v>508</v>
      </c>
      <c r="I346" s="2" t="s">
        <v>1084</v>
      </c>
      <c r="J346" s="2" t="s">
        <v>512</v>
      </c>
    </row>
    <row r="347" customFormat="false" ht="15" hidden="false" customHeight="false" outlineLevel="0" collapsed="false">
      <c r="A347" s="2" t="s">
        <v>2701</v>
      </c>
      <c r="B347" s="2" t="s">
        <v>2702</v>
      </c>
      <c r="C347" s="2" t="n">
        <v>1</v>
      </c>
      <c r="D347" s="2" t="s">
        <v>1879</v>
      </c>
      <c r="E347" s="2" t="s">
        <v>33</v>
      </c>
      <c r="F347" s="2" t="s">
        <v>2703</v>
      </c>
      <c r="G347" s="2" t="s">
        <v>2064</v>
      </c>
      <c r="H347" s="2" t="s">
        <v>2702</v>
      </c>
      <c r="I347" s="2" t="s">
        <v>493</v>
      </c>
      <c r="J347" s="2" t="s">
        <v>498</v>
      </c>
    </row>
    <row r="348" customFormat="false" ht="15" hidden="false" customHeight="false" outlineLevel="0" collapsed="false">
      <c r="A348" s="2" t="s">
        <v>2704</v>
      </c>
      <c r="B348" s="2" t="s">
        <v>2702</v>
      </c>
      <c r="C348" s="2" t="n">
        <v>2</v>
      </c>
      <c r="D348" s="2" t="s">
        <v>1884</v>
      </c>
      <c r="E348" s="2" t="s">
        <v>34</v>
      </c>
      <c r="F348" s="2" t="s">
        <v>2705</v>
      </c>
      <c r="G348" s="2" t="s">
        <v>2064</v>
      </c>
      <c r="H348" s="2" t="s">
        <v>2702</v>
      </c>
      <c r="I348" s="2" t="s">
        <v>1009</v>
      </c>
      <c r="J348" s="2" t="s">
        <v>498</v>
      </c>
    </row>
    <row r="349" customFormat="false" ht="15" hidden="false" customHeight="false" outlineLevel="0" collapsed="false">
      <c r="A349" s="2" t="s">
        <v>2706</v>
      </c>
      <c r="B349" s="2" t="s">
        <v>2702</v>
      </c>
      <c r="C349" s="2" t="n">
        <v>3</v>
      </c>
      <c r="D349" s="2" t="s">
        <v>1887</v>
      </c>
      <c r="E349" s="2" t="s">
        <v>35</v>
      </c>
      <c r="F349" s="2" t="s">
        <v>2707</v>
      </c>
      <c r="G349" s="2" t="s">
        <v>2064</v>
      </c>
      <c r="H349" s="2" t="s">
        <v>2702</v>
      </c>
      <c r="I349" s="2" t="s">
        <v>1064</v>
      </c>
      <c r="J349" s="2" t="s">
        <v>498</v>
      </c>
    </row>
    <row r="350" customFormat="false" ht="15" hidden="false" customHeight="false" outlineLevel="0" collapsed="false">
      <c r="A350" s="2" t="s">
        <v>2708</v>
      </c>
      <c r="B350" s="2" t="s">
        <v>2702</v>
      </c>
      <c r="C350" s="2" t="n">
        <v>4</v>
      </c>
      <c r="D350" s="2" t="s">
        <v>1887</v>
      </c>
      <c r="E350" s="2" t="s">
        <v>35</v>
      </c>
      <c r="F350" s="2" t="s">
        <v>2709</v>
      </c>
      <c r="G350" s="2" t="s">
        <v>2064</v>
      </c>
      <c r="H350" s="2" t="s">
        <v>2702</v>
      </c>
      <c r="I350" s="2" t="s">
        <v>1064</v>
      </c>
      <c r="J350" s="2" t="s">
        <v>498</v>
      </c>
    </row>
    <row r="351" customFormat="false" ht="15" hidden="false" customHeight="false" outlineLevel="0" collapsed="false">
      <c r="A351" s="2" t="s">
        <v>2710</v>
      </c>
      <c r="B351" s="2" t="s">
        <v>2702</v>
      </c>
      <c r="C351" s="2" t="n">
        <v>5</v>
      </c>
      <c r="D351" s="2" t="s">
        <v>1892</v>
      </c>
      <c r="E351" s="2" t="s">
        <v>35</v>
      </c>
      <c r="F351" s="2" t="s">
        <v>2711</v>
      </c>
      <c r="G351" s="2" t="s">
        <v>2064</v>
      </c>
      <c r="H351" s="2" t="s">
        <v>2702</v>
      </c>
      <c r="I351" s="2" t="s">
        <v>1064</v>
      </c>
      <c r="J351" s="2" t="s">
        <v>498</v>
      </c>
    </row>
    <row r="352" customFormat="false" ht="15" hidden="false" customHeight="false" outlineLevel="0" collapsed="false">
      <c r="A352" s="2" t="s">
        <v>2712</v>
      </c>
      <c r="B352" s="2" t="s">
        <v>754</v>
      </c>
      <c r="C352" s="2" t="n">
        <v>1</v>
      </c>
      <c r="D352" s="2" t="s">
        <v>1879</v>
      </c>
      <c r="E352" s="2" t="s">
        <v>33</v>
      </c>
      <c r="F352" s="2" t="s">
        <v>2713</v>
      </c>
      <c r="G352" s="2" t="s">
        <v>2714</v>
      </c>
      <c r="H352" s="2" t="s">
        <v>754</v>
      </c>
      <c r="I352" s="2" t="s">
        <v>551</v>
      </c>
      <c r="J352" s="2" t="s">
        <v>757</v>
      </c>
    </row>
    <row r="353" customFormat="false" ht="15" hidden="false" customHeight="false" outlineLevel="0" collapsed="false">
      <c r="A353" s="2" t="s">
        <v>2715</v>
      </c>
      <c r="B353" s="2" t="s">
        <v>754</v>
      </c>
      <c r="C353" s="2" t="n">
        <v>2</v>
      </c>
      <c r="D353" s="2" t="s">
        <v>1884</v>
      </c>
      <c r="E353" s="2" t="s">
        <v>34</v>
      </c>
      <c r="F353" s="2" t="s">
        <v>2716</v>
      </c>
      <c r="G353" s="2" t="s">
        <v>2714</v>
      </c>
      <c r="H353" s="2" t="s">
        <v>754</v>
      </c>
      <c r="I353" s="2" t="s">
        <v>753</v>
      </c>
      <c r="J353" s="2" t="s">
        <v>757</v>
      </c>
    </row>
    <row r="354" customFormat="false" ht="15" hidden="false" customHeight="false" outlineLevel="0" collapsed="false">
      <c r="A354" s="2" t="s">
        <v>2717</v>
      </c>
      <c r="B354" s="2" t="s">
        <v>754</v>
      </c>
      <c r="C354" s="2" t="n">
        <v>3</v>
      </c>
      <c r="D354" s="2" t="s">
        <v>1887</v>
      </c>
      <c r="E354" s="2" t="s">
        <v>35</v>
      </c>
      <c r="F354" s="2" t="s">
        <v>2718</v>
      </c>
      <c r="G354" s="2" t="s">
        <v>2714</v>
      </c>
      <c r="H354" s="2" t="s">
        <v>754</v>
      </c>
      <c r="I354" s="2" t="s">
        <v>1112</v>
      </c>
      <c r="J354" s="2" t="s">
        <v>757</v>
      </c>
    </row>
    <row r="355" customFormat="false" ht="15" hidden="false" customHeight="false" outlineLevel="0" collapsed="false">
      <c r="A355" s="2" t="s">
        <v>2719</v>
      </c>
      <c r="B355" s="2" t="s">
        <v>754</v>
      </c>
      <c r="C355" s="2" t="n">
        <v>4</v>
      </c>
      <c r="D355" s="2" t="s">
        <v>1887</v>
      </c>
      <c r="E355" s="2" t="s">
        <v>35</v>
      </c>
      <c r="F355" s="2" t="s">
        <v>2720</v>
      </c>
      <c r="G355" s="2" t="s">
        <v>2714</v>
      </c>
      <c r="H355" s="2" t="s">
        <v>754</v>
      </c>
      <c r="I355" s="2" t="s">
        <v>1112</v>
      </c>
      <c r="J355" s="2" t="s">
        <v>757</v>
      </c>
    </row>
    <row r="356" customFormat="false" ht="15" hidden="false" customHeight="false" outlineLevel="0" collapsed="false">
      <c r="A356" s="2" t="s">
        <v>2721</v>
      </c>
      <c r="B356" s="2" t="s">
        <v>754</v>
      </c>
      <c r="C356" s="2" t="n">
        <v>5</v>
      </c>
      <c r="D356" s="2" t="s">
        <v>1892</v>
      </c>
      <c r="E356" s="2" t="s">
        <v>35</v>
      </c>
      <c r="F356" s="2" t="s">
        <v>2722</v>
      </c>
      <c r="G356" s="2" t="s">
        <v>2714</v>
      </c>
      <c r="H356" s="2" t="s">
        <v>754</v>
      </c>
      <c r="I356" s="2" t="s">
        <v>1112</v>
      </c>
      <c r="J356" s="2" t="s">
        <v>757</v>
      </c>
    </row>
    <row r="357" customFormat="false" ht="15" hidden="false" customHeight="false" outlineLevel="0" collapsed="false">
      <c r="A357" s="2" t="s">
        <v>2723</v>
      </c>
      <c r="B357" s="2" t="s">
        <v>2724</v>
      </c>
      <c r="C357" s="2" t="n">
        <v>1</v>
      </c>
      <c r="D357" s="2" t="s">
        <v>1879</v>
      </c>
      <c r="E357" s="2" t="s">
        <v>33</v>
      </c>
      <c r="F357" s="2" t="s">
        <v>2725</v>
      </c>
      <c r="G357" s="2" t="s">
        <v>2064</v>
      </c>
      <c r="H357" s="2" t="s">
        <v>2724</v>
      </c>
      <c r="I357" s="2" t="s">
        <v>500</v>
      </c>
      <c r="J357" s="2" t="s">
        <v>505</v>
      </c>
    </row>
    <row r="358" customFormat="false" ht="15" hidden="false" customHeight="false" outlineLevel="0" collapsed="false">
      <c r="A358" s="2" t="s">
        <v>2726</v>
      </c>
      <c r="B358" s="2" t="s">
        <v>2724</v>
      </c>
      <c r="C358" s="2" t="n">
        <v>2</v>
      </c>
      <c r="D358" s="2" t="s">
        <v>1884</v>
      </c>
      <c r="E358" s="2" t="s">
        <v>34</v>
      </c>
      <c r="F358" s="2" t="s">
        <v>2727</v>
      </c>
      <c r="G358" s="2" t="s">
        <v>2064</v>
      </c>
      <c r="H358" s="2" t="s">
        <v>2724</v>
      </c>
      <c r="I358" s="2" t="s">
        <v>1009</v>
      </c>
      <c r="J358" s="2" t="s">
        <v>505</v>
      </c>
    </row>
    <row r="359" customFormat="false" ht="15" hidden="false" customHeight="false" outlineLevel="0" collapsed="false">
      <c r="A359" s="2" t="s">
        <v>2728</v>
      </c>
      <c r="B359" s="2" t="s">
        <v>2724</v>
      </c>
      <c r="C359" s="2" t="n">
        <v>3</v>
      </c>
      <c r="D359" s="2" t="s">
        <v>1887</v>
      </c>
      <c r="E359" s="2" t="s">
        <v>35</v>
      </c>
      <c r="F359" s="2" t="s">
        <v>2729</v>
      </c>
      <c r="G359" s="2" t="s">
        <v>2064</v>
      </c>
      <c r="H359" s="2" t="s">
        <v>2724</v>
      </c>
      <c r="I359" s="2" t="s">
        <v>1064</v>
      </c>
      <c r="J359" s="2" t="s">
        <v>505</v>
      </c>
    </row>
    <row r="360" customFormat="false" ht="15" hidden="false" customHeight="false" outlineLevel="0" collapsed="false">
      <c r="A360" s="2" t="s">
        <v>2730</v>
      </c>
      <c r="B360" s="2" t="s">
        <v>2724</v>
      </c>
      <c r="C360" s="2" t="n">
        <v>4</v>
      </c>
      <c r="D360" s="2" t="s">
        <v>1887</v>
      </c>
      <c r="E360" s="2" t="s">
        <v>35</v>
      </c>
      <c r="F360" s="2" t="s">
        <v>2731</v>
      </c>
      <c r="G360" s="2" t="s">
        <v>2064</v>
      </c>
      <c r="H360" s="2" t="s">
        <v>2724</v>
      </c>
      <c r="I360" s="2" t="s">
        <v>1064</v>
      </c>
      <c r="J360" s="2" t="s">
        <v>505</v>
      </c>
    </row>
    <row r="361" customFormat="false" ht="15" hidden="false" customHeight="false" outlineLevel="0" collapsed="false">
      <c r="A361" s="2" t="s">
        <v>2732</v>
      </c>
      <c r="B361" s="2" t="s">
        <v>2724</v>
      </c>
      <c r="C361" s="2" t="n">
        <v>5</v>
      </c>
      <c r="D361" s="2" t="s">
        <v>1892</v>
      </c>
      <c r="E361" s="2" t="s">
        <v>35</v>
      </c>
      <c r="F361" s="2" t="s">
        <v>2733</v>
      </c>
      <c r="G361" s="2" t="s">
        <v>2064</v>
      </c>
      <c r="H361" s="2" t="s">
        <v>2724</v>
      </c>
      <c r="I361" s="2" t="s">
        <v>1064</v>
      </c>
      <c r="J361" s="2" t="s">
        <v>505</v>
      </c>
    </row>
    <row r="362" customFormat="false" ht="15" hidden="false" customHeight="false" outlineLevel="0" collapsed="false">
      <c r="A362" s="2" t="s">
        <v>2734</v>
      </c>
      <c r="B362" s="2" t="s">
        <v>2735</v>
      </c>
      <c r="C362" s="2" t="n">
        <v>1</v>
      </c>
      <c r="D362" s="2" t="s">
        <v>1879</v>
      </c>
      <c r="E362" s="2" t="s">
        <v>33</v>
      </c>
      <c r="F362" s="2" t="s">
        <v>2736</v>
      </c>
      <c r="G362" s="2" t="s">
        <v>2064</v>
      </c>
      <c r="H362" s="2" t="s">
        <v>2735</v>
      </c>
      <c r="I362" s="2" t="s">
        <v>557</v>
      </c>
      <c r="J362" s="2" t="s">
        <v>829</v>
      </c>
    </row>
    <row r="363" customFormat="false" ht="15" hidden="false" customHeight="false" outlineLevel="0" collapsed="false">
      <c r="A363" s="2" t="s">
        <v>2737</v>
      </c>
      <c r="B363" s="2" t="s">
        <v>2735</v>
      </c>
      <c r="C363" s="2" t="n">
        <v>2</v>
      </c>
      <c r="D363" s="2" t="s">
        <v>1884</v>
      </c>
      <c r="E363" s="2" t="s">
        <v>34</v>
      </c>
      <c r="F363" s="2" t="s">
        <v>2738</v>
      </c>
      <c r="G363" s="2" t="s">
        <v>2064</v>
      </c>
      <c r="H363" s="2" t="s">
        <v>2735</v>
      </c>
      <c r="I363" s="2" t="s">
        <v>825</v>
      </c>
      <c r="J363" s="2" t="s">
        <v>829</v>
      </c>
    </row>
    <row r="364" customFormat="false" ht="15" hidden="false" customHeight="false" outlineLevel="0" collapsed="false">
      <c r="A364" s="2" t="s">
        <v>2739</v>
      </c>
      <c r="B364" s="2" t="s">
        <v>2735</v>
      </c>
      <c r="C364" s="2" t="n">
        <v>3</v>
      </c>
      <c r="D364" s="2" t="s">
        <v>1887</v>
      </c>
      <c r="E364" s="2" t="s">
        <v>35</v>
      </c>
      <c r="F364" s="2" t="s">
        <v>2740</v>
      </c>
      <c r="G364" s="2" t="s">
        <v>2064</v>
      </c>
      <c r="H364" s="2" t="s">
        <v>2735</v>
      </c>
      <c r="I364" s="2" t="s">
        <v>1112</v>
      </c>
      <c r="J364" s="2" t="s">
        <v>829</v>
      </c>
    </row>
    <row r="365" customFormat="false" ht="15" hidden="false" customHeight="false" outlineLevel="0" collapsed="false">
      <c r="A365" s="2" t="s">
        <v>2741</v>
      </c>
      <c r="B365" s="2" t="s">
        <v>2735</v>
      </c>
      <c r="C365" s="2" t="n">
        <v>4</v>
      </c>
      <c r="D365" s="2" t="s">
        <v>1887</v>
      </c>
      <c r="E365" s="2" t="s">
        <v>35</v>
      </c>
      <c r="F365" s="2" t="s">
        <v>2742</v>
      </c>
      <c r="G365" s="2" t="s">
        <v>2064</v>
      </c>
      <c r="H365" s="2" t="s">
        <v>2735</v>
      </c>
      <c r="I365" s="2" t="s">
        <v>1112</v>
      </c>
      <c r="J365" s="2" t="s">
        <v>829</v>
      </c>
    </row>
    <row r="366" customFormat="false" ht="15" hidden="false" customHeight="false" outlineLevel="0" collapsed="false">
      <c r="A366" s="2" t="s">
        <v>2743</v>
      </c>
      <c r="B366" s="2" t="s">
        <v>2735</v>
      </c>
      <c r="C366" s="2" t="n">
        <v>5</v>
      </c>
      <c r="D366" s="2" t="s">
        <v>1892</v>
      </c>
      <c r="E366" s="2" t="s">
        <v>35</v>
      </c>
      <c r="F366" s="2" t="s">
        <v>2744</v>
      </c>
      <c r="G366" s="2" t="s">
        <v>2064</v>
      </c>
      <c r="H366" s="2" t="s">
        <v>2735</v>
      </c>
      <c r="I366" s="2" t="s">
        <v>1112</v>
      </c>
      <c r="J366" s="2" t="s">
        <v>829</v>
      </c>
    </row>
    <row r="367" customFormat="false" ht="15" hidden="false" customHeight="false" outlineLevel="0" collapsed="false">
      <c r="A367" s="2" t="s">
        <v>2745</v>
      </c>
      <c r="B367" s="2" t="s">
        <v>963</v>
      </c>
      <c r="C367" s="2" t="n">
        <v>1</v>
      </c>
      <c r="D367" s="2" t="s">
        <v>1879</v>
      </c>
      <c r="E367" s="2" t="s">
        <v>33</v>
      </c>
      <c r="F367" s="2" t="s">
        <v>2746</v>
      </c>
      <c r="G367" s="2" t="s">
        <v>2428</v>
      </c>
      <c r="H367" s="2" t="s">
        <v>963</v>
      </c>
      <c r="I367" s="2" t="s">
        <v>563</v>
      </c>
      <c r="J367" s="2" t="s">
        <v>966</v>
      </c>
    </row>
    <row r="368" customFormat="false" ht="15" hidden="false" customHeight="false" outlineLevel="0" collapsed="false">
      <c r="A368" s="2" t="s">
        <v>2747</v>
      </c>
      <c r="B368" s="2" t="s">
        <v>963</v>
      </c>
      <c r="C368" s="2" t="n">
        <v>2</v>
      </c>
      <c r="D368" s="2" t="s">
        <v>1884</v>
      </c>
      <c r="E368" s="2" t="s">
        <v>34</v>
      </c>
      <c r="F368" s="2" t="s">
        <v>2748</v>
      </c>
      <c r="G368" s="2" t="s">
        <v>2428</v>
      </c>
      <c r="H368" s="2" t="s">
        <v>963</v>
      </c>
      <c r="I368" s="2" t="s">
        <v>962</v>
      </c>
      <c r="J368" s="2" t="s">
        <v>966</v>
      </c>
    </row>
    <row r="369" customFormat="false" ht="15" hidden="false" customHeight="false" outlineLevel="0" collapsed="false">
      <c r="A369" s="2" t="s">
        <v>2749</v>
      </c>
      <c r="B369" s="2" t="s">
        <v>963</v>
      </c>
      <c r="C369" s="2" t="n">
        <v>3</v>
      </c>
      <c r="D369" s="2" t="s">
        <v>1887</v>
      </c>
      <c r="E369" s="2" t="s">
        <v>35</v>
      </c>
      <c r="F369" s="2" t="s">
        <v>2750</v>
      </c>
      <c r="G369" s="2" t="s">
        <v>2428</v>
      </c>
      <c r="H369" s="2" t="s">
        <v>963</v>
      </c>
      <c r="I369" s="2" t="s">
        <v>1149</v>
      </c>
      <c r="J369" s="2" t="s">
        <v>966</v>
      </c>
    </row>
    <row r="370" customFormat="false" ht="15" hidden="false" customHeight="false" outlineLevel="0" collapsed="false">
      <c r="A370" s="2" t="s">
        <v>2751</v>
      </c>
      <c r="B370" s="2" t="s">
        <v>963</v>
      </c>
      <c r="C370" s="2" t="n">
        <v>4</v>
      </c>
      <c r="D370" s="2" t="s">
        <v>1887</v>
      </c>
      <c r="E370" s="2" t="s">
        <v>35</v>
      </c>
      <c r="F370" s="2" t="s">
        <v>2752</v>
      </c>
      <c r="G370" s="2" t="s">
        <v>2428</v>
      </c>
      <c r="H370" s="2" t="s">
        <v>963</v>
      </c>
      <c r="I370" s="2" t="s">
        <v>1149</v>
      </c>
      <c r="J370" s="2" t="s">
        <v>966</v>
      </c>
    </row>
    <row r="371" customFormat="false" ht="15" hidden="false" customHeight="false" outlineLevel="0" collapsed="false">
      <c r="A371" s="2" t="s">
        <v>2753</v>
      </c>
      <c r="B371" s="2" t="s">
        <v>963</v>
      </c>
      <c r="C371" s="2" t="n">
        <v>5</v>
      </c>
      <c r="D371" s="2" t="s">
        <v>1892</v>
      </c>
      <c r="E371" s="2" t="s">
        <v>35</v>
      </c>
      <c r="F371" s="2" t="s">
        <v>2754</v>
      </c>
      <c r="G371" s="2" t="s">
        <v>2428</v>
      </c>
      <c r="H371" s="2" t="s">
        <v>963</v>
      </c>
      <c r="I371" s="2" t="s">
        <v>1149</v>
      </c>
      <c r="J371" s="2" t="s">
        <v>966</v>
      </c>
    </row>
    <row r="372" customFormat="false" ht="15" hidden="false" customHeight="false" outlineLevel="0" collapsed="false">
      <c r="A372" s="2" t="s">
        <v>2755</v>
      </c>
      <c r="B372" s="2" t="s">
        <v>540</v>
      </c>
      <c r="C372" s="2" t="n">
        <v>1</v>
      </c>
      <c r="D372" s="2" t="s">
        <v>1879</v>
      </c>
      <c r="E372" s="2" t="s">
        <v>33</v>
      </c>
      <c r="F372" s="2" t="s">
        <v>2756</v>
      </c>
      <c r="G372" s="2" t="s">
        <v>1924</v>
      </c>
      <c r="H372" s="2" t="s">
        <v>540</v>
      </c>
      <c r="I372" s="2" t="s">
        <v>539</v>
      </c>
      <c r="J372" s="2" t="s">
        <v>543</v>
      </c>
    </row>
    <row r="373" customFormat="false" ht="15" hidden="false" customHeight="false" outlineLevel="0" collapsed="false">
      <c r="A373" s="2" t="s">
        <v>2757</v>
      </c>
      <c r="B373" s="2" t="s">
        <v>540</v>
      </c>
      <c r="C373" s="2" t="n">
        <v>2</v>
      </c>
      <c r="D373" s="2" t="s">
        <v>1884</v>
      </c>
      <c r="E373" s="2" t="s">
        <v>34</v>
      </c>
      <c r="F373" s="2" t="s">
        <v>2758</v>
      </c>
      <c r="G373" s="2" t="s">
        <v>1924</v>
      </c>
      <c r="H373" s="2" t="s">
        <v>540</v>
      </c>
      <c r="I373" s="2" t="s">
        <v>723</v>
      </c>
      <c r="J373" s="2" t="s">
        <v>543</v>
      </c>
    </row>
    <row r="374" customFormat="false" ht="15" hidden="false" customHeight="false" outlineLevel="0" collapsed="false">
      <c r="A374" s="2" t="s">
        <v>2759</v>
      </c>
      <c r="B374" s="2" t="s">
        <v>540</v>
      </c>
      <c r="C374" s="2" t="n">
        <v>3</v>
      </c>
      <c r="D374" s="2" t="s">
        <v>1887</v>
      </c>
      <c r="E374" s="2" t="s">
        <v>35</v>
      </c>
      <c r="F374" s="2" t="s">
        <v>2760</v>
      </c>
      <c r="G374" s="2" t="s">
        <v>1924</v>
      </c>
      <c r="H374" s="2" t="s">
        <v>540</v>
      </c>
      <c r="I374" s="2" t="s">
        <v>1098</v>
      </c>
      <c r="J374" s="2" t="s">
        <v>543</v>
      </c>
    </row>
    <row r="375" customFormat="false" ht="15" hidden="false" customHeight="false" outlineLevel="0" collapsed="false">
      <c r="A375" s="2" t="s">
        <v>2761</v>
      </c>
      <c r="B375" s="2" t="s">
        <v>540</v>
      </c>
      <c r="C375" s="2" t="n">
        <v>4</v>
      </c>
      <c r="D375" s="2" t="s">
        <v>1887</v>
      </c>
      <c r="E375" s="2" t="s">
        <v>35</v>
      </c>
      <c r="F375" s="2" t="s">
        <v>2762</v>
      </c>
      <c r="G375" s="2" t="s">
        <v>1924</v>
      </c>
      <c r="H375" s="2" t="s">
        <v>540</v>
      </c>
      <c r="I375" s="2" t="s">
        <v>1098</v>
      </c>
      <c r="J375" s="2" t="s">
        <v>543</v>
      </c>
    </row>
    <row r="376" customFormat="false" ht="15" hidden="false" customHeight="false" outlineLevel="0" collapsed="false">
      <c r="A376" s="2" t="s">
        <v>2763</v>
      </c>
      <c r="B376" s="2" t="s">
        <v>540</v>
      </c>
      <c r="C376" s="2" t="n">
        <v>5</v>
      </c>
      <c r="D376" s="2" t="s">
        <v>1892</v>
      </c>
      <c r="E376" s="2" t="s">
        <v>35</v>
      </c>
      <c r="F376" s="2" t="s">
        <v>2764</v>
      </c>
      <c r="G376" s="2" t="s">
        <v>1924</v>
      </c>
      <c r="H376" s="2" t="s">
        <v>540</v>
      </c>
      <c r="I376" s="2" t="s">
        <v>1098</v>
      </c>
      <c r="J376" s="2" t="s">
        <v>543</v>
      </c>
    </row>
    <row r="377" customFormat="false" ht="15" hidden="false" customHeight="false" outlineLevel="0" collapsed="false">
      <c r="A377" s="2" t="s">
        <v>2765</v>
      </c>
      <c r="B377" s="2" t="s">
        <v>2766</v>
      </c>
      <c r="C377" s="2" t="n">
        <v>1</v>
      </c>
      <c r="D377" s="2" t="s">
        <v>1879</v>
      </c>
      <c r="E377" s="2" t="s">
        <v>33</v>
      </c>
      <c r="F377" s="2" t="s">
        <v>2767</v>
      </c>
      <c r="G377" s="2" t="s">
        <v>1924</v>
      </c>
      <c r="H377" s="2" t="s">
        <v>2766</v>
      </c>
      <c r="I377" s="2" t="s">
        <v>551</v>
      </c>
      <c r="J377" s="2" t="s">
        <v>738</v>
      </c>
    </row>
    <row r="378" customFormat="false" ht="15" hidden="false" customHeight="false" outlineLevel="0" collapsed="false">
      <c r="A378" s="2" t="s">
        <v>2768</v>
      </c>
      <c r="B378" s="2" t="s">
        <v>2766</v>
      </c>
      <c r="C378" s="2" t="n">
        <v>2</v>
      </c>
      <c r="D378" s="2" t="s">
        <v>1884</v>
      </c>
      <c r="E378" s="2" t="s">
        <v>34</v>
      </c>
      <c r="F378" s="2" t="s">
        <v>2769</v>
      </c>
      <c r="G378" s="2" t="s">
        <v>1924</v>
      </c>
      <c r="H378" s="2" t="s">
        <v>2766</v>
      </c>
      <c r="I378" s="2" t="s">
        <v>734</v>
      </c>
      <c r="J378" s="2" t="s">
        <v>738</v>
      </c>
    </row>
    <row r="379" customFormat="false" ht="15" hidden="false" customHeight="false" outlineLevel="0" collapsed="false">
      <c r="A379" s="2" t="s">
        <v>2770</v>
      </c>
      <c r="B379" s="2" t="s">
        <v>2766</v>
      </c>
      <c r="C379" s="2" t="n">
        <v>3</v>
      </c>
      <c r="D379" s="2" t="s">
        <v>1887</v>
      </c>
      <c r="E379" s="2" t="s">
        <v>35</v>
      </c>
      <c r="F379" s="2" t="s">
        <v>2771</v>
      </c>
      <c r="G379" s="2" t="s">
        <v>1924</v>
      </c>
      <c r="H379" s="2" t="s">
        <v>2766</v>
      </c>
      <c r="I379" s="2" t="s">
        <v>1098</v>
      </c>
      <c r="J379" s="2" t="s">
        <v>738</v>
      </c>
    </row>
    <row r="380" customFormat="false" ht="15" hidden="false" customHeight="false" outlineLevel="0" collapsed="false">
      <c r="A380" s="2" t="s">
        <v>2772</v>
      </c>
      <c r="B380" s="2" t="s">
        <v>2766</v>
      </c>
      <c r="C380" s="2" t="n">
        <v>4</v>
      </c>
      <c r="D380" s="2" t="s">
        <v>1887</v>
      </c>
      <c r="E380" s="2" t="s">
        <v>35</v>
      </c>
      <c r="F380" s="2" t="s">
        <v>2773</v>
      </c>
      <c r="G380" s="2" t="s">
        <v>1924</v>
      </c>
      <c r="H380" s="2" t="s">
        <v>2766</v>
      </c>
      <c r="I380" s="2" t="s">
        <v>1098</v>
      </c>
      <c r="J380" s="2" t="s">
        <v>738</v>
      </c>
    </row>
    <row r="381" customFormat="false" ht="15" hidden="false" customHeight="false" outlineLevel="0" collapsed="false">
      <c r="A381" s="2" t="s">
        <v>2774</v>
      </c>
      <c r="B381" s="2" t="s">
        <v>2766</v>
      </c>
      <c r="C381" s="2" t="n">
        <v>5</v>
      </c>
      <c r="D381" s="2" t="s">
        <v>1892</v>
      </c>
      <c r="E381" s="2" t="s">
        <v>35</v>
      </c>
      <c r="F381" s="2" t="s">
        <v>2775</v>
      </c>
      <c r="G381" s="2" t="s">
        <v>1924</v>
      </c>
      <c r="H381" s="2" t="s">
        <v>2766</v>
      </c>
      <c r="I381" s="2" t="s">
        <v>1098</v>
      </c>
      <c r="J381" s="2" t="s">
        <v>738</v>
      </c>
    </row>
    <row r="382" customFormat="false" ht="15" hidden="false" customHeight="false" outlineLevel="0" collapsed="false">
      <c r="A382" s="2" t="s">
        <v>2776</v>
      </c>
      <c r="B382" s="2" t="s">
        <v>2777</v>
      </c>
      <c r="C382" s="2" t="n">
        <v>1</v>
      </c>
      <c r="D382" s="2" t="s">
        <v>1879</v>
      </c>
      <c r="E382" s="2" t="s">
        <v>33</v>
      </c>
      <c r="F382" s="2" t="s">
        <v>2778</v>
      </c>
      <c r="G382" s="2" t="s">
        <v>1924</v>
      </c>
      <c r="H382" s="2" t="s">
        <v>2777</v>
      </c>
      <c r="I382" s="2" t="s">
        <v>551</v>
      </c>
      <c r="J382" s="2" t="s">
        <v>746</v>
      </c>
    </row>
    <row r="383" customFormat="false" ht="15" hidden="false" customHeight="false" outlineLevel="0" collapsed="false">
      <c r="A383" s="2" t="s">
        <v>2779</v>
      </c>
      <c r="B383" s="2" t="s">
        <v>2777</v>
      </c>
      <c r="C383" s="2" t="n">
        <v>2</v>
      </c>
      <c r="D383" s="2" t="s">
        <v>1884</v>
      </c>
      <c r="E383" s="2" t="s">
        <v>34</v>
      </c>
      <c r="F383" s="2" t="s">
        <v>2780</v>
      </c>
      <c r="G383" s="2" t="s">
        <v>1924</v>
      </c>
      <c r="H383" s="2" t="s">
        <v>2777</v>
      </c>
      <c r="I383" s="2" t="s">
        <v>740</v>
      </c>
      <c r="J383" s="2" t="s">
        <v>746</v>
      </c>
    </row>
    <row r="384" customFormat="false" ht="15" hidden="false" customHeight="false" outlineLevel="0" collapsed="false">
      <c r="A384" s="2" t="s">
        <v>2781</v>
      </c>
      <c r="B384" s="2" t="s">
        <v>2777</v>
      </c>
      <c r="C384" s="2" t="n">
        <v>3</v>
      </c>
      <c r="D384" s="2" t="s">
        <v>1887</v>
      </c>
      <c r="E384" s="2" t="s">
        <v>35</v>
      </c>
      <c r="F384" s="2" t="s">
        <v>2782</v>
      </c>
      <c r="G384" s="2" t="s">
        <v>1924</v>
      </c>
      <c r="H384" s="2" t="s">
        <v>2777</v>
      </c>
      <c r="I384" s="2" t="s">
        <v>1098</v>
      </c>
      <c r="J384" s="2" t="s">
        <v>746</v>
      </c>
    </row>
    <row r="385" customFormat="false" ht="15" hidden="false" customHeight="false" outlineLevel="0" collapsed="false">
      <c r="A385" s="2" t="s">
        <v>2783</v>
      </c>
      <c r="B385" s="2" t="s">
        <v>2777</v>
      </c>
      <c r="C385" s="2" t="n">
        <v>4</v>
      </c>
      <c r="D385" s="2" t="s">
        <v>1887</v>
      </c>
      <c r="E385" s="2" t="s">
        <v>35</v>
      </c>
      <c r="F385" s="2" t="s">
        <v>2784</v>
      </c>
      <c r="G385" s="2" t="s">
        <v>1924</v>
      </c>
      <c r="H385" s="2" t="s">
        <v>2777</v>
      </c>
      <c r="I385" s="2" t="s">
        <v>1098</v>
      </c>
      <c r="J385" s="2" t="s">
        <v>746</v>
      </c>
    </row>
    <row r="386" customFormat="false" ht="15" hidden="false" customHeight="false" outlineLevel="0" collapsed="false">
      <c r="A386" s="2" t="s">
        <v>2785</v>
      </c>
      <c r="B386" s="2" t="s">
        <v>2777</v>
      </c>
      <c r="C386" s="2" t="n">
        <v>5</v>
      </c>
      <c r="D386" s="2" t="s">
        <v>1892</v>
      </c>
      <c r="E386" s="2" t="s">
        <v>35</v>
      </c>
      <c r="F386" s="2" t="s">
        <v>2786</v>
      </c>
      <c r="G386" s="2" t="s">
        <v>1924</v>
      </c>
      <c r="H386" s="2" t="s">
        <v>2777</v>
      </c>
      <c r="I386" s="2" t="s">
        <v>1098</v>
      </c>
      <c r="J386" s="2" t="s">
        <v>746</v>
      </c>
    </row>
    <row r="387" customFormat="false" ht="15" hidden="false" customHeight="false" outlineLevel="0" collapsed="false">
      <c r="A387" s="2" t="s">
        <v>2787</v>
      </c>
      <c r="B387" s="2" t="s">
        <v>2788</v>
      </c>
      <c r="C387" s="2" t="n">
        <v>1</v>
      </c>
      <c r="D387" s="2" t="s">
        <v>1879</v>
      </c>
      <c r="E387" s="2" t="s">
        <v>33</v>
      </c>
      <c r="F387" s="2" t="s">
        <v>2789</v>
      </c>
      <c r="G387" s="2" t="s">
        <v>2275</v>
      </c>
      <c r="H387" s="2" t="s">
        <v>2788</v>
      </c>
      <c r="I387" s="2" t="s">
        <v>563</v>
      </c>
      <c r="J387" s="2" t="s">
        <v>2790</v>
      </c>
    </row>
    <row r="388" customFormat="false" ht="15" hidden="false" customHeight="false" outlineLevel="0" collapsed="false">
      <c r="A388" s="2" t="s">
        <v>2791</v>
      </c>
      <c r="B388" s="2" t="s">
        <v>2788</v>
      </c>
      <c r="C388" s="2" t="n">
        <v>2</v>
      </c>
      <c r="D388" s="2" t="s">
        <v>1884</v>
      </c>
      <c r="E388" s="2" t="s">
        <v>34</v>
      </c>
      <c r="F388" s="2" t="s">
        <v>2792</v>
      </c>
      <c r="G388" s="2" t="s">
        <v>2275</v>
      </c>
      <c r="H388" s="2" t="s">
        <v>2788</v>
      </c>
      <c r="I388" s="2" t="s">
        <v>900</v>
      </c>
      <c r="J388" s="2" t="s">
        <v>2790</v>
      </c>
    </row>
    <row r="389" customFormat="false" ht="15" hidden="false" customHeight="false" outlineLevel="0" collapsed="false">
      <c r="A389" s="2" t="s">
        <v>2793</v>
      </c>
      <c r="B389" s="2" t="s">
        <v>2788</v>
      </c>
      <c r="C389" s="2" t="n">
        <v>3</v>
      </c>
      <c r="D389" s="2" t="s">
        <v>1887</v>
      </c>
      <c r="E389" s="2" t="s">
        <v>35</v>
      </c>
      <c r="F389" s="2" t="s">
        <v>2794</v>
      </c>
      <c r="G389" s="2" t="s">
        <v>2275</v>
      </c>
      <c r="H389" s="2" t="s">
        <v>2788</v>
      </c>
      <c r="I389" s="2" t="s">
        <v>1118</v>
      </c>
      <c r="J389" s="2" t="s">
        <v>2790</v>
      </c>
    </row>
    <row r="390" customFormat="false" ht="15" hidden="false" customHeight="false" outlineLevel="0" collapsed="false">
      <c r="A390" s="2" t="s">
        <v>2795</v>
      </c>
      <c r="B390" s="2" t="s">
        <v>2788</v>
      </c>
      <c r="C390" s="2" t="n">
        <v>4</v>
      </c>
      <c r="D390" s="2" t="s">
        <v>1887</v>
      </c>
      <c r="E390" s="2" t="s">
        <v>35</v>
      </c>
      <c r="F390" s="2" t="s">
        <v>2796</v>
      </c>
      <c r="G390" s="2" t="s">
        <v>2275</v>
      </c>
      <c r="H390" s="2" t="s">
        <v>2788</v>
      </c>
      <c r="I390" s="2" t="s">
        <v>1118</v>
      </c>
      <c r="J390" s="2" t="s">
        <v>2790</v>
      </c>
    </row>
    <row r="391" customFormat="false" ht="15" hidden="false" customHeight="false" outlineLevel="0" collapsed="false">
      <c r="A391" s="2" t="s">
        <v>2797</v>
      </c>
      <c r="B391" s="2" t="s">
        <v>2788</v>
      </c>
      <c r="C391" s="2" t="n">
        <v>5</v>
      </c>
      <c r="D391" s="2" t="s">
        <v>1892</v>
      </c>
      <c r="E391" s="2" t="s">
        <v>35</v>
      </c>
      <c r="F391" s="2" t="s">
        <v>2798</v>
      </c>
      <c r="G391" s="2" t="s">
        <v>2275</v>
      </c>
      <c r="H391" s="2" t="s">
        <v>2788</v>
      </c>
      <c r="I391" s="2" t="s">
        <v>1118</v>
      </c>
      <c r="J391" s="2" t="s">
        <v>2790</v>
      </c>
    </row>
    <row r="392" customFormat="false" ht="15" hidden="false" customHeight="false" outlineLevel="0" collapsed="false">
      <c r="A392" s="2" t="s">
        <v>2799</v>
      </c>
      <c r="B392" s="2" t="s">
        <v>2800</v>
      </c>
      <c r="C392" s="2" t="n">
        <v>1</v>
      </c>
      <c r="D392" s="2" t="s">
        <v>1879</v>
      </c>
      <c r="E392" s="2" t="s">
        <v>33</v>
      </c>
      <c r="F392" s="2" t="s">
        <v>2801</v>
      </c>
      <c r="G392" s="2" t="s">
        <v>1937</v>
      </c>
      <c r="H392" s="2" t="s">
        <v>2800</v>
      </c>
      <c r="I392" s="2" t="s">
        <v>563</v>
      </c>
      <c r="J392" s="2" t="s">
        <v>2802</v>
      </c>
    </row>
    <row r="393" customFormat="false" ht="15" hidden="false" customHeight="false" outlineLevel="0" collapsed="false">
      <c r="A393" s="2" t="s">
        <v>2803</v>
      </c>
      <c r="B393" s="2" t="s">
        <v>2800</v>
      </c>
      <c r="C393" s="2" t="n">
        <v>2</v>
      </c>
      <c r="D393" s="2" t="s">
        <v>1884</v>
      </c>
      <c r="E393" s="2" t="s">
        <v>34</v>
      </c>
      <c r="F393" s="2" t="s">
        <v>2804</v>
      </c>
      <c r="G393" s="2" t="s">
        <v>1937</v>
      </c>
      <c r="H393" s="2" t="s">
        <v>2800</v>
      </c>
      <c r="I393" s="2" t="s">
        <v>900</v>
      </c>
      <c r="J393" s="2" t="s">
        <v>2802</v>
      </c>
    </row>
    <row r="394" customFormat="false" ht="15" hidden="false" customHeight="false" outlineLevel="0" collapsed="false">
      <c r="A394" s="2" t="s">
        <v>2805</v>
      </c>
      <c r="B394" s="2" t="s">
        <v>2800</v>
      </c>
      <c r="C394" s="2" t="n">
        <v>3</v>
      </c>
      <c r="D394" s="2" t="s">
        <v>1887</v>
      </c>
      <c r="E394" s="2" t="s">
        <v>35</v>
      </c>
      <c r="F394" s="2" t="s">
        <v>2806</v>
      </c>
      <c r="G394" s="2" t="s">
        <v>1937</v>
      </c>
      <c r="H394" s="2" t="s">
        <v>2800</v>
      </c>
      <c r="I394" s="2" t="s">
        <v>1118</v>
      </c>
      <c r="J394" s="2" t="s">
        <v>2802</v>
      </c>
    </row>
    <row r="395" customFormat="false" ht="15" hidden="false" customHeight="false" outlineLevel="0" collapsed="false">
      <c r="A395" s="2" t="s">
        <v>2807</v>
      </c>
      <c r="B395" s="2" t="s">
        <v>2800</v>
      </c>
      <c r="C395" s="2" t="n">
        <v>4</v>
      </c>
      <c r="D395" s="2" t="s">
        <v>1887</v>
      </c>
      <c r="E395" s="2" t="s">
        <v>35</v>
      </c>
      <c r="F395" s="2" t="s">
        <v>2808</v>
      </c>
      <c r="G395" s="2" t="s">
        <v>1937</v>
      </c>
      <c r="H395" s="2" t="s">
        <v>2800</v>
      </c>
      <c r="I395" s="2" t="s">
        <v>1118</v>
      </c>
      <c r="J395" s="2" t="s">
        <v>2802</v>
      </c>
    </row>
    <row r="396" customFormat="false" ht="15" hidden="false" customHeight="false" outlineLevel="0" collapsed="false">
      <c r="A396" s="2" t="s">
        <v>2809</v>
      </c>
      <c r="B396" s="2" t="s">
        <v>2800</v>
      </c>
      <c r="C396" s="2" t="n">
        <v>5</v>
      </c>
      <c r="D396" s="2" t="s">
        <v>1892</v>
      </c>
      <c r="E396" s="2" t="s">
        <v>35</v>
      </c>
      <c r="F396" s="2" t="s">
        <v>2810</v>
      </c>
      <c r="G396" s="2" t="s">
        <v>1937</v>
      </c>
      <c r="H396" s="2" t="s">
        <v>2800</v>
      </c>
      <c r="I396" s="2" t="s">
        <v>1118</v>
      </c>
      <c r="J396" s="2" t="s">
        <v>2802</v>
      </c>
    </row>
    <row r="397" customFormat="false" ht="15" hidden="false" customHeight="false" outlineLevel="0" collapsed="false">
      <c r="A397" s="2" t="s">
        <v>2811</v>
      </c>
      <c r="B397" s="2" t="s">
        <v>813</v>
      </c>
      <c r="C397" s="2" t="n">
        <v>1</v>
      </c>
      <c r="D397" s="2" t="s">
        <v>1879</v>
      </c>
      <c r="E397" s="2" t="s">
        <v>33</v>
      </c>
      <c r="F397" s="2" t="s">
        <v>2812</v>
      </c>
      <c r="G397" s="2" t="s">
        <v>2813</v>
      </c>
      <c r="H397" s="2" t="s">
        <v>813</v>
      </c>
      <c r="I397" s="2" t="s">
        <v>557</v>
      </c>
      <c r="J397" s="2" t="s">
        <v>817</v>
      </c>
    </row>
    <row r="398" customFormat="false" ht="15" hidden="false" customHeight="false" outlineLevel="0" collapsed="false">
      <c r="A398" s="2" t="s">
        <v>2814</v>
      </c>
      <c r="B398" s="2" t="s">
        <v>813</v>
      </c>
      <c r="C398" s="2" t="n">
        <v>2</v>
      </c>
      <c r="D398" s="2" t="s">
        <v>1884</v>
      </c>
      <c r="E398" s="2" t="s">
        <v>34</v>
      </c>
      <c r="F398" s="2" t="s">
        <v>2815</v>
      </c>
      <c r="G398" s="2" t="s">
        <v>2813</v>
      </c>
      <c r="H398" s="2" t="s">
        <v>813</v>
      </c>
      <c r="I398" s="2" t="s">
        <v>812</v>
      </c>
      <c r="J398" s="2" t="s">
        <v>817</v>
      </c>
    </row>
    <row r="399" customFormat="false" ht="15" hidden="false" customHeight="false" outlineLevel="0" collapsed="false">
      <c r="A399" s="2" t="s">
        <v>2816</v>
      </c>
      <c r="B399" s="2" t="s">
        <v>813</v>
      </c>
      <c r="C399" s="2" t="n">
        <v>3</v>
      </c>
      <c r="D399" s="2" t="s">
        <v>1887</v>
      </c>
      <c r="E399" s="2" t="s">
        <v>35</v>
      </c>
      <c r="F399" s="2" t="s">
        <v>2817</v>
      </c>
      <c r="G399" s="2" t="s">
        <v>2813</v>
      </c>
      <c r="H399" s="2" t="s">
        <v>813</v>
      </c>
      <c r="I399" s="2" t="s">
        <v>1142</v>
      </c>
      <c r="J399" s="2" t="s">
        <v>817</v>
      </c>
    </row>
    <row r="400" customFormat="false" ht="15" hidden="false" customHeight="false" outlineLevel="0" collapsed="false">
      <c r="A400" s="2" t="s">
        <v>2818</v>
      </c>
      <c r="B400" s="2" t="s">
        <v>813</v>
      </c>
      <c r="C400" s="2" t="n">
        <v>4</v>
      </c>
      <c r="D400" s="2" t="s">
        <v>1887</v>
      </c>
      <c r="E400" s="2" t="s">
        <v>35</v>
      </c>
      <c r="F400" s="2" t="s">
        <v>2819</v>
      </c>
      <c r="G400" s="2" t="s">
        <v>2813</v>
      </c>
      <c r="H400" s="2" t="s">
        <v>813</v>
      </c>
      <c r="I400" s="2" t="s">
        <v>1142</v>
      </c>
      <c r="J400" s="2" t="s">
        <v>817</v>
      </c>
    </row>
    <row r="401" customFormat="false" ht="15" hidden="false" customHeight="false" outlineLevel="0" collapsed="false">
      <c r="A401" s="2" t="s">
        <v>2820</v>
      </c>
      <c r="B401" s="2" t="s">
        <v>813</v>
      </c>
      <c r="C401" s="2" t="n">
        <v>5</v>
      </c>
      <c r="D401" s="2" t="s">
        <v>1892</v>
      </c>
      <c r="E401" s="2" t="s">
        <v>35</v>
      </c>
      <c r="F401" s="2" t="s">
        <v>2821</v>
      </c>
      <c r="G401" s="2" t="s">
        <v>2813</v>
      </c>
      <c r="H401" s="2" t="s">
        <v>813</v>
      </c>
      <c r="I401" s="2" t="s">
        <v>1142</v>
      </c>
      <c r="J401" s="2" t="s">
        <v>817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2026-10-15T23:21:03Z</dcterms:created>
  <dc:creator>openpyxl</dc:creator>
  <dc:description/>
  <dc:language>en-US</dc:language>
  <cp:lastModifiedBy/>
  <dcterms:modified xsi:type="dcterms:W3CDTF">2026-10-15T23:21:03Z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